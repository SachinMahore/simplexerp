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6A152E91-819A-45BF-8424-0A22C543C2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D12" i="1"/>
  <c r="U9" i="1" l="1"/>
  <c r="T9" i="1"/>
  <c r="S9" i="1"/>
  <c r="R9" i="1"/>
  <c r="Q9" i="1"/>
  <c r="P9" i="1"/>
  <c r="O9" i="1"/>
  <c r="E19" i="1" l="1"/>
  <c r="E18" i="1"/>
  <c r="E17" i="1"/>
  <c r="E16" i="1"/>
  <c r="E15" i="1"/>
  <c r="E14" i="1"/>
  <c r="E13" i="1"/>
  <c r="D19" i="1"/>
  <c r="D18" i="1"/>
  <c r="D16" i="1"/>
  <c r="D15" i="1"/>
  <c r="D14" i="1"/>
  <c r="D13" i="1"/>
  <c r="L18" i="1" l="1"/>
  <c r="M18" i="1" l="1"/>
  <c r="D35" i="1" l="1"/>
  <c r="F30" i="1" l="1"/>
  <c r="D23" i="1" l="1"/>
  <c r="H27" i="1"/>
  <c r="H26" i="1"/>
  <c r="Q3" i="1"/>
  <c r="Q5" i="1"/>
  <c r="S5" i="1" s="1"/>
  <c r="S4" i="1"/>
  <c r="Q2" i="1"/>
  <c r="H16" i="1"/>
  <c r="F25" i="1" l="1"/>
  <c r="M3" i="1" l="1"/>
  <c r="M2" i="1"/>
  <c r="I34" i="1"/>
  <c r="I29" i="1"/>
  <c r="H28" i="1"/>
  <c r="G28" i="1"/>
  <c r="F28" i="1"/>
  <c r="I27" i="1"/>
  <c r="J27" i="1" s="1"/>
  <c r="I26" i="1"/>
  <c r="J26" i="1" s="1"/>
  <c r="H24" i="1"/>
  <c r="L24" i="1" s="1"/>
  <c r="M24" i="1" s="1"/>
  <c r="G24" i="1"/>
  <c r="E24" i="1"/>
  <c r="G23" i="1"/>
  <c r="F23" i="1"/>
  <c r="H23" i="1" s="1"/>
  <c r="E23" i="1"/>
  <c r="H20" i="1"/>
  <c r="I20" i="1" s="1"/>
  <c r="H19" i="1"/>
  <c r="L19" i="1"/>
  <c r="M19" i="1" s="1"/>
  <c r="H18" i="1"/>
  <c r="H17" i="1"/>
  <c r="D17" i="1"/>
  <c r="L16" i="1"/>
  <c r="M16" i="1" s="1"/>
  <c r="H15" i="1"/>
  <c r="L15" i="1"/>
  <c r="M15" i="1" s="1"/>
  <c r="H14" i="1"/>
  <c r="L14" i="1"/>
  <c r="M14" i="1" s="1"/>
  <c r="G13" i="1"/>
  <c r="F13" i="1"/>
  <c r="L13" i="1"/>
  <c r="M13" i="1" s="1"/>
  <c r="G12" i="1"/>
  <c r="F12" i="1"/>
  <c r="M5" i="1" l="1"/>
  <c r="M7" i="1"/>
  <c r="H13" i="1"/>
  <c r="I13" i="1" s="1"/>
  <c r="M4" i="1"/>
  <c r="M6" i="1"/>
  <c r="H25" i="1"/>
  <c r="I25" i="1" s="1"/>
  <c r="J25" i="1" s="1"/>
  <c r="M8" i="1"/>
  <c r="I23" i="1"/>
  <c r="J23" i="1" s="1"/>
  <c r="I24" i="1"/>
  <c r="J24" i="1" s="1"/>
  <c r="L12" i="1"/>
  <c r="I19" i="1"/>
  <c r="I16" i="1"/>
  <c r="H12" i="1"/>
  <c r="I12" i="1" s="1"/>
  <c r="I28" i="1"/>
  <c r="J28" i="1" s="1"/>
  <c r="I14" i="1"/>
  <c r="I15" i="1"/>
  <c r="I17" i="1"/>
  <c r="J13" i="1"/>
  <c r="J15" i="1"/>
  <c r="J16" i="1"/>
  <c r="J18" i="1"/>
  <c r="J14" i="1"/>
  <c r="J19" i="1"/>
  <c r="L25" i="1"/>
  <c r="M25" i="1" s="1"/>
  <c r="I18" i="1"/>
  <c r="L23" i="1"/>
  <c r="M23" i="1" s="1"/>
  <c r="L17" i="1"/>
  <c r="M17" i="1" s="1"/>
  <c r="M12" i="1" l="1"/>
  <c r="J12" i="1" s="1"/>
  <c r="M10" i="1"/>
  <c r="H33" i="1" s="1"/>
  <c r="I33" i="1" s="1"/>
  <c r="J33" i="1" s="1"/>
  <c r="I21" i="1"/>
  <c r="J17" i="1"/>
  <c r="H32" i="1" l="1"/>
  <c r="I32" i="1" s="1"/>
  <c r="J32" i="1" s="1"/>
  <c r="I37" i="1" l="1"/>
  <c r="I38" i="1" s="1"/>
  <c r="J45" i="1" s="1"/>
  <c r="J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PARTY NAME
</t>
        </r>
      </text>
    </comment>
    <comment ref="D3" authorId="0" shapeId="0" xr:uid="{EC40D083-263C-4EAC-9C9B-1B20D7168953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PARTY NAME
</t>
        </r>
      </text>
    </comment>
    <comment ref="D4" authorId="0" shapeId="0" xr:uid="{60A99F12-BD0D-4BD2-AFB6-A58E3263218C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PARTY NAME
</t>
        </r>
      </text>
    </comment>
    <comment ref="I4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PRINT SIDE &amp; COLOR</t>
        </r>
      </text>
    </comment>
    <comment ref="D5" authorId="0" shapeId="0" xr:uid="{5426C65B-66BC-4B0F-B8DE-6CA78BD929E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PARTY NAME
</t>
        </r>
      </text>
    </comment>
    <comment ref="I5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ATTACHMENT
CORNEER OR CROSS CORNER</t>
        </r>
      </text>
    </comment>
    <comment ref="D6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BAG LENGHT</t>
        </r>
      </text>
    </comment>
    <comment ref="E6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BAG WIDTH</t>
        </r>
      </text>
    </comment>
    <comment ref="F6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BAG HEIGHT</t>
        </r>
      </text>
    </comment>
    <comment ref="I6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GRM
SWL / 2.2 X 5/ 4 / 40</t>
        </r>
      </text>
    </comment>
    <comment ref="J6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WIDTH IN MM
40 / 50 / 60 / 75 / 90 / 100 MM</t>
        </r>
      </text>
    </comment>
    <comment ref="K6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COLOR</t>
        </r>
      </text>
    </comment>
    <comment ref="D7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SKIRT HEIGHT
BAG L+BAG W)/2X2.54-10 CM
</t>
        </r>
      </text>
    </comment>
    <comment ref="E7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FS SPOUT DAYA</t>
        </r>
      </text>
    </comment>
    <comment ref="F7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FS SPOUT HEIGHT</t>
        </r>
      </text>
    </comment>
    <comment ref="I7" authorId="0" shapeId="0" xr:uid="{00000000-0006-0000-0000-000010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FREE HEIGHT</t>
        </r>
      </text>
    </comment>
    <comment ref="J7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SHORT LOOP SIZE
AS PER THE CHART</t>
        </r>
      </text>
    </comment>
    <comment ref="K7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LONG LOOP SIZE 
BAH HT X 2.54 X % AS PER CHART</t>
        </r>
      </text>
    </comment>
    <comment ref="D8" authorId="0" shapeId="0" xr:uid="{9F343E7E-17BC-4EDF-8963-3CE8C688F564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SKIRT HEIGHT
BAG L+BAG W)/2X2.54-10 CM
</t>
        </r>
      </text>
    </comment>
    <comment ref="E8" authorId="0" shapeId="0" xr:uid="{ECD41177-831B-4613-9F51-2C3A2D6BB8AC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FS SPOUT DAYA</t>
        </r>
      </text>
    </comment>
    <comment ref="F8" authorId="0" shapeId="0" xr:uid="{5E4EF885-1AD3-499F-A7EE-317B2EAFAB2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FS SPOUT HEIGHT</t>
        </r>
      </text>
    </comment>
    <comment ref="I8" authorId="0" shapeId="0" xr:uid="{00000000-0006-0000-0000-000016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LINER TUB SIZE 
(BAG L + BAG W)X 2.54+10 CM</t>
        </r>
      </text>
    </comment>
    <comment ref="J8" authorId="0" shapeId="0" xr:uid="{00000000-0006-0000-0000-000017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LINER HEIGHT</t>
        </r>
      </text>
    </comment>
    <comment ref="K8" authorId="0" shapeId="0" xr:uid="{00000000-0006-0000-0000-000018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LINER MICRON</t>
        </r>
      </text>
    </comment>
    <comment ref="D9" authorId="0" shapeId="0" xr:uid="{00000000-0006-0000-0000-000019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FABRIC GSM
oz x 34 = gsm</t>
        </r>
      </text>
    </comment>
    <comment ref="E9" authorId="0" shapeId="0" xr:uid="{00000000-0006-0000-0000-00001A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FABRIC COATING</t>
        </r>
      </text>
    </comment>
    <comment ref="F9" authorId="0" shapeId="0" xr:uid="{00000000-0006-0000-0000-00001B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FABRIC COLOR</t>
        </r>
      </text>
    </comment>
    <comment ref="I9" authorId="0" shapeId="0" xr:uid="{00000000-0006-0000-0000-00001C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SWL </t>
        </r>
      </text>
    </comment>
    <comment ref="K9" authorId="0" shapeId="0" xr:uid="{90DF38D7-C553-4E33-924F-791BFD40594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SF</t>
        </r>
      </text>
    </comment>
    <comment ref="D12" authorId="0" shapeId="0" xr:uid="{00000000-0006-0000-0000-00001D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BAG
WIDTH X 2.54+12 CM FOLD</t>
        </r>
      </text>
    </comment>
    <comment ref="E12" authorId="0" shapeId="0" xr:uid="{00000000-0006-0000-0000-00001E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(2XBAG HT + BAG LENGTH)X 2.54+13 CM FOLD</t>
        </r>
      </text>
    </comment>
    <comment ref="D13" authorId="0" shapeId="0" xr:uid="{00000000-0006-0000-0000-00001F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BAG LENGTH X 2.54 + 12 CM FOLD</t>
        </r>
      </text>
    </comment>
    <comment ref="E13" authorId="0" shapeId="0" xr:uid="{00000000-0006-0000-0000-000020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BAG HEIGHT X 2.54 + 12 CM FOLD</t>
        </r>
      </text>
    </comment>
    <comment ref="D14" authorId="0" shapeId="0" xr:uid="{00000000-0006-0000-0000-000021000000}">
      <text>
        <r>
          <rPr>
            <b/>
            <sz val="9"/>
            <color indexed="81"/>
            <rFont val="Tahoma"/>
            <charset val="1"/>
          </rPr>
          <t>BAG LENGTH X 2.54 + 12 CM</t>
        </r>
      </text>
    </comment>
    <comment ref="E14" authorId="0" shapeId="0" xr:uid="{00000000-0006-0000-0000-000022000000}">
      <text>
        <r>
          <rPr>
            <b/>
            <sz val="9"/>
            <color indexed="81"/>
            <rFont val="Tahoma"/>
            <charset val="1"/>
          </rPr>
          <t>BAG WIDTH X 2.54 + 12 CM</t>
        </r>
      </text>
    </comment>
    <comment ref="D15" authorId="0" shapeId="0" xr:uid="{00000000-0006-0000-0000-000023000000}">
      <text>
        <r>
          <rPr>
            <b/>
            <sz val="9"/>
            <color indexed="81"/>
            <rFont val="Tahoma"/>
            <charset val="1"/>
          </rPr>
          <t>BAG LENGH X 2.54 + 12 CM</t>
        </r>
      </text>
    </comment>
    <comment ref="E15" authorId="0" shapeId="0" xr:uid="{00000000-0006-0000-0000-000024000000}">
      <text>
        <r>
          <rPr>
            <b/>
            <sz val="9"/>
            <color indexed="81"/>
            <rFont val="Tahoma"/>
            <charset val="1"/>
          </rPr>
          <t>BAG WIDTH X 2.54 + 12 CCM</t>
        </r>
      </text>
    </comment>
    <comment ref="D16" authorId="0" shapeId="0" xr:uid="{00000000-0006-0000-0000-000025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FS X 2.54 +5 CM FOLD</t>
        </r>
      </text>
    </comment>
    <comment ref="E16" authorId="0" shapeId="0" xr:uid="{00000000-0006-0000-0000-000026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FS DAYA X 2.54 X 3.14 +12 CM FOLD</t>
        </r>
      </text>
    </comment>
    <comment ref="D17" authorId="0" shapeId="0" xr:uid="{00000000-0006-0000-0000-000027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SKIRT HEIGHT + 5 CM FOLD</t>
        </r>
      </text>
    </comment>
    <comment ref="E17" authorId="0" shapeId="0" xr:uid="{00000000-0006-0000-0000-000028000000}">
      <text>
        <r>
          <rPr>
            <b/>
            <sz val="9"/>
            <color indexed="81"/>
            <rFont val="Tahoma"/>
            <charset val="1"/>
          </rPr>
          <t>(BAG LENGTH+BAG WIDTH)X 2.54X2+13 CM FOLD</t>
        </r>
      </text>
    </comment>
    <comment ref="D18" authorId="0" shapeId="0" xr:uid="{00000000-0006-0000-0000-000029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STAR/DS SPOUT DAYA X 2.54 + 5 CM FOLD</t>
        </r>
      </text>
    </comment>
    <comment ref="E18" authorId="0" shapeId="0" xr:uid="{00000000-0006-0000-0000-00002A000000}">
      <text>
        <r>
          <rPr>
            <b/>
            <sz val="9"/>
            <color indexed="81"/>
            <rFont val="Tahoma"/>
            <charset val="1"/>
          </rPr>
          <t>STAR / DS SPOUT DAYA X 2.54 X 3.54 + 12 CM FOLD</t>
        </r>
      </text>
    </comment>
    <comment ref="D19" authorId="0" shapeId="0" xr:uid="{00000000-0006-0000-0000-00002B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IRIS SPOUT HT + IRIS DAYA / 2 X 2.54 + 17 CM FOLD</t>
        </r>
      </text>
    </comment>
    <comment ref="E19" authorId="0" shapeId="0" xr:uid="{00000000-0006-0000-0000-00002C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IRIS DAYA X 2.54 X 3.14
+12 CM FOLD</t>
        </r>
      </text>
    </comment>
    <comment ref="D23" authorId="0" shapeId="0" xr:uid="{00000000-0006-0000-0000-00002D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COLOR</t>
        </r>
      </text>
    </comment>
    <comment ref="E23" authorId="0" shapeId="0" xr:uid="{00000000-0006-0000-0000-00002E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40/50/60/75/90/100</t>
        </r>
      </text>
    </comment>
    <comment ref="F23" authorId="0" shapeId="0" xr:uid="{00000000-0006-0000-0000-00002F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FREE HT X 2 + SHORT LOOP + LONG LOOP </t>
        </r>
      </text>
    </comment>
    <comment ref="G23" authorId="0" shapeId="0" xr:uid="{00000000-0006-0000-0000-000030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 PER THE CHART</t>
        </r>
      </text>
    </comment>
    <comment ref="H23" authorId="0" shapeId="0" xr:uid="{00000000-0006-0000-0000-00003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 OF LOOP AS PER PO</t>
        </r>
      </text>
    </comment>
    <comment ref="D24" authorId="0" shapeId="0" xr:uid="{00000000-0006-0000-0000-000032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LOOP COOLOR</t>
        </r>
      </text>
    </comment>
    <comment ref="E24" authorId="0" shapeId="0" xr:uid="{00000000-0006-0000-0000-000033000000}">
      <text>
        <r>
          <rPr>
            <b/>
            <sz val="9"/>
            <color indexed="81"/>
            <rFont val="Tahoma"/>
            <charset val="1"/>
          </rPr>
          <t xml:space="preserve">40/50/60/75/100
</t>
        </r>
      </text>
    </comment>
    <comment ref="F24" authorId="0" shapeId="0" xr:uid="{00000000-0006-0000-0000-000034000000}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  <comment ref="H24" authorId="0" shapeId="0" xr:uid="{00000000-0006-0000-0000-000035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 PER THE PO</t>
        </r>
      </text>
    </comment>
    <comment ref="D25" authorId="0" shapeId="0" xr:uid="{00000000-0006-0000-0000-000036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TOP BAND COLOR</t>
        </r>
      </text>
    </comment>
    <comment ref="E25" authorId="0" shapeId="0" xr:uid="{00000000-0006-0000-0000-000037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35 / 50 / 75 / 90 / 100 MM</t>
        </r>
      </text>
    </comment>
    <comment ref="F25" authorId="0" shapeId="0" xr:uid="{00000000-0006-0000-0000-000038000000}">
      <text>
        <r>
          <rPr>
            <b/>
            <sz val="9"/>
            <color indexed="81"/>
            <rFont val="Tahoma"/>
            <charset val="1"/>
          </rPr>
          <t>(BAG L+BAG W ) X 2 X 2.54 +10 CM</t>
        </r>
      </text>
    </comment>
    <comment ref="H25" authorId="0" shapeId="0" xr:uid="{00000000-0006-0000-0000-000039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 PER THE PO</t>
        </r>
      </text>
    </comment>
    <comment ref="D26" authorId="0" shapeId="0" xr:uid="{00000000-0006-0000-0000-00003A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TIE COLOR</t>
        </r>
      </text>
    </comment>
    <comment ref="E26" authorId="0" shapeId="0" xr:uid="{00000000-0006-0000-0000-00003B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TIE MM
10 / 20 MM</t>
        </r>
      </text>
    </comment>
    <comment ref="F26" authorId="0" shapeId="0" xr:uid="{00000000-0006-0000-0000-00003C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STD 120 CM</t>
        </r>
      </text>
    </comment>
    <comment ref="H26" authorId="0" shapeId="0" xr:uid="{00000000-0006-0000-0000-00003D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WITH FS / DS / SKIRT / IRIS / FLAP /STAR</t>
        </r>
      </text>
    </comment>
    <comment ref="D27" authorId="0" shapeId="0" xr:uid="{00000000-0006-0000-0000-00003E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ROPE COLOR</t>
        </r>
      </text>
    </comment>
    <comment ref="E27" authorId="0" shapeId="0" xr:uid="{00000000-0006-0000-0000-00003F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ROPE MM 
3 / 5 / 8 MM</t>
        </r>
      </text>
    </comment>
    <comment ref="F27" authorId="0" shapeId="0" xr:uid="{00000000-0006-0000-0000-000040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DAYA X 2.54 X 2.54 +40</t>
        </r>
      </text>
    </comment>
    <comment ref="H27" authorId="0" shapeId="0" xr:uid="{00000000-0006-0000-0000-00004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 PER PO COPY</t>
        </r>
      </text>
    </comment>
    <comment ref="D28" authorId="0" shapeId="0" xr:uid="{00000000-0006-0000-0000-000042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NORMAL / FORMFIT / SUSPENDED </t>
        </r>
      </text>
    </comment>
    <comment ref="F28" authorId="0" shapeId="0" xr:uid="{00000000-0006-0000-0000-000043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LINER WIDTH</t>
        </r>
      </text>
    </comment>
    <comment ref="G28" authorId="0" shapeId="0" xr:uid="{00000000-0006-0000-0000-000044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LINER HEIGHT</t>
        </r>
      </text>
    </comment>
    <comment ref="H28" authorId="0" shapeId="0" xr:uid="{00000000-0006-0000-0000-000045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LINER MICRON</t>
        </r>
      </text>
    </comment>
    <comment ref="D29" authorId="0" shapeId="0" xr:uid="{00000000-0006-0000-0000-000046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NORMAL / ZIPLOCK</t>
        </r>
      </text>
    </comment>
    <comment ref="F29" authorId="0" shapeId="0" xr:uid="{00000000-0006-0000-0000-000047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WIDTH</t>
        </r>
      </text>
    </comment>
    <comment ref="G29" authorId="0" shapeId="0" xr:uid="{00000000-0006-0000-0000-000048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LENGHT</t>
        </r>
      </text>
    </comment>
    <comment ref="H29" authorId="0" shapeId="0" xr:uid="{00000000-0006-0000-0000-000049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MICRON</t>
        </r>
      </text>
    </comment>
    <comment ref="D30" authorId="0" shapeId="0" xr:uid="{00000000-0006-0000-0000-00004A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LD / TYVEK</t>
        </r>
      </text>
    </comment>
    <comment ref="F30" authorId="0" shapeId="0" xr:uid="{00000000-0006-0000-0000-00004B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CUSTOMER </t>
        </r>
      </text>
    </comment>
    <comment ref="D31" authorId="0" shapeId="0" xr:uid="{00000000-0006-0000-0000-00004C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LD / TYVEK</t>
        </r>
      </text>
    </comment>
    <comment ref="F31" authorId="0" shapeId="0" xr:uid="{00000000-0006-0000-0000-00004D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 PER REQ</t>
        </r>
      </text>
    </comment>
    <comment ref="D32" authorId="0" shapeId="0" xr:uid="{00000000-0006-0000-0000-00004E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ALL SEAM 
SD P/ DDP /TDP</t>
        </r>
      </text>
    </comment>
    <comment ref="G32" authorId="0" shapeId="0" xr:uid="{00000000-0006-0000-0000-00004F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12 GM PER METER</t>
        </r>
      </text>
    </comment>
    <comment ref="H32" authorId="0" shapeId="0" xr:uid="{00000000-0006-0000-0000-000050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TOTAL STITCHING</t>
        </r>
      </text>
    </comment>
    <comment ref="D33" authorId="0" shapeId="0" xr:uid="{00000000-0006-0000-0000-00005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STD MW &amp; BLUE 
OR AS PER PO COPY</t>
        </r>
      </text>
    </comment>
    <comment ref="G33" authorId="0" shapeId="0" xr:uid="{00000000-0006-0000-0000-000052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WT PER METER</t>
        </r>
      </text>
    </comment>
    <comment ref="H33" authorId="0" shapeId="0" xr:uid="{00000000-0006-0000-0000-000053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TOTAL METER STITCHING</t>
        </r>
      </text>
    </comment>
    <comment ref="D34" authorId="0" shapeId="0" xr:uid="{00000000-0006-0000-0000-000054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WHERE ATTACHED</t>
        </r>
      </text>
    </comment>
    <comment ref="G34" authorId="0" shapeId="0" xr:uid="{00000000-0006-0000-0000-000055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 OF PCS</t>
        </r>
      </text>
    </comment>
    <comment ref="H34" authorId="0" shapeId="0" xr:uid="{00000000-0006-0000-0000-000056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WT PER PCS</t>
        </r>
      </text>
    </comment>
    <comment ref="D35" authorId="0" shapeId="0" xr:uid="{00000000-0006-0000-0000-000057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 OF SIDE PRINT</t>
        </r>
      </text>
    </comment>
    <comment ref="F35" authorId="0" shapeId="0" xr:uid="{00000000-0006-0000-0000-000058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NO OF COLOR</t>
        </r>
      </text>
    </comment>
  </commentList>
</comments>
</file>

<file path=xl/sharedStrings.xml><?xml version="1.0" encoding="utf-8"?>
<sst xmlns="http://schemas.openxmlformats.org/spreadsheetml/2006/main" count="118" uniqueCount="98">
  <si>
    <t>CUSTOMER</t>
  </si>
  <si>
    <t>BAG TYPE</t>
  </si>
  <si>
    <t>BOX</t>
  </si>
  <si>
    <t>PURCHASE NO</t>
  </si>
  <si>
    <t>STICHING TYPE</t>
  </si>
  <si>
    <t>TOP</t>
  </si>
  <si>
    <t>REF. NO</t>
  </si>
  <si>
    <t>PRINT</t>
  </si>
  <si>
    <t>FS&amp;ROUND</t>
  </si>
  <si>
    <t>ORDER QTY</t>
  </si>
  <si>
    <t>LOOP ATT. TYPE</t>
  </si>
  <si>
    <t>SKT</t>
  </si>
  <si>
    <t>DS&amp; ROUND</t>
  </si>
  <si>
    <t>FILLING TYPE</t>
  </si>
  <si>
    <t>LOOP ATTACHMENT</t>
  </si>
  <si>
    <t>IRIS&amp;ROUND</t>
  </si>
  <si>
    <t>DISCHARGE TYPE</t>
  </si>
  <si>
    <t>LINER SIZE &amp; Mc.</t>
  </si>
  <si>
    <t>TOP BEND</t>
  </si>
  <si>
    <t>FABRIC GSM</t>
  </si>
  <si>
    <t>SWL / SF</t>
  </si>
  <si>
    <t>EXTRA</t>
  </si>
  <si>
    <t>CUMPONENT</t>
  </si>
  <si>
    <t>WIDTH</t>
  </si>
  <si>
    <t>GSM</t>
  </si>
  <si>
    <t>LAM</t>
  </si>
  <si>
    <t>TOTAL</t>
  </si>
  <si>
    <t>CUT WT</t>
  </si>
  <si>
    <t>TOTAL MTR</t>
  </si>
  <si>
    <t>BODY FAB.</t>
  </si>
  <si>
    <t>SIDE FAB.</t>
  </si>
  <si>
    <t>TOP FAB.</t>
  </si>
  <si>
    <t>FLAP FAB.</t>
  </si>
  <si>
    <t>SKT FAB.</t>
  </si>
  <si>
    <t>DS/PATEL FAB.</t>
  </si>
  <si>
    <t>IRIS FAB.</t>
  </si>
  <si>
    <t>EXTRA FAB.</t>
  </si>
  <si>
    <t>TOTAL WT</t>
  </si>
  <si>
    <t>COLOUR</t>
  </si>
  <si>
    <t>CUTLENTH</t>
  </si>
  <si>
    <t>GM/MTR</t>
  </si>
  <si>
    <t>TOTAL/PCS</t>
  </si>
  <si>
    <t>LOOP ( 1 )</t>
  </si>
  <si>
    <t>LOOP ( 2 )</t>
  </si>
  <si>
    <t>TIE CORD</t>
  </si>
  <si>
    <t>ROPE CORD</t>
  </si>
  <si>
    <t>LINER</t>
  </si>
  <si>
    <t>ZIPLOCK/DOC</t>
  </si>
  <si>
    <t>LABEL</t>
  </si>
  <si>
    <t>SHIFTPROOF</t>
  </si>
  <si>
    <t>THREAD</t>
  </si>
  <si>
    <t>B-LOCK</t>
  </si>
  <si>
    <t>EXTRA COMP,</t>
  </si>
  <si>
    <t>GRAND TOTAL</t>
  </si>
  <si>
    <t xml:space="preserve">IMPORTANTS INSTRUCTION </t>
  </si>
  <si>
    <t>PREPAID BY</t>
  </si>
  <si>
    <t>CHECKED BY</t>
  </si>
  <si>
    <t>APPROVED BY</t>
  </si>
  <si>
    <t>CP</t>
  </si>
  <si>
    <t>LOOP gm/mm/colour</t>
  </si>
  <si>
    <t>CUT LEN.</t>
  </si>
  <si>
    <t>BAG SIZE( ID )</t>
  </si>
  <si>
    <t>F/S FAB.</t>
  </si>
  <si>
    <t>EXTRA LABEL</t>
  </si>
  <si>
    <t>FINISHING COST</t>
  </si>
  <si>
    <t>CUSTOMER SAMPLE REC.</t>
  </si>
  <si>
    <t>WE SEND SAMPLE CUST.APP</t>
  </si>
  <si>
    <t>PREVIOUS PO NUMBER</t>
  </si>
  <si>
    <t>ANY COMPLAINTS THIS REF .</t>
  </si>
  <si>
    <t>SKIRT HT</t>
  </si>
  <si>
    <t>LOOP GRM</t>
  </si>
  <si>
    <t>LONG LOOP</t>
  </si>
  <si>
    <t>ACT.WT-</t>
  </si>
  <si>
    <t>REQ WT</t>
  </si>
  <si>
    <t>DIF.WT-</t>
  </si>
  <si>
    <r>
      <t xml:space="preserve">     FIBC JOB CARD</t>
    </r>
    <r>
      <rPr>
        <b/>
        <u/>
        <sz val="26"/>
        <color theme="1"/>
        <rFont val="Calibri"/>
        <family val="2"/>
        <scheme val="minor"/>
      </rPr>
      <t xml:space="preserve">          </t>
    </r>
  </si>
  <si>
    <t>KGS</t>
  </si>
  <si>
    <t>SL</t>
  </si>
  <si>
    <t>LL</t>
  </si>
  <si>
    <t>TOTAL KG</t>
  </si>
  <si>
    <t>AUTO FROM PO</t>
  </si>
  <si>
    <t xml:space="preserve">LENGTH </t>
  </si>
  <si>
    <t>HIGHT</t>
  </si>
  <si>
    <t>DROP DOWN</t>
  </si>
  <si>
    <t>DROP DOWN(PRINTED /UNPRINTED-IF YES - SIDE /COLOUR)</t>
  </si>
  <si>
    <t xml:space="preserve">DROP DOWN </t>
  </si>
  <si>
    <t>GSM MANUAL</t>
  </si>
  <si>
    <t>COATING GSM</t>
  </si>
  <si>
    <t>width</t>
  </si>
  <si>
    <t xml:space="preserve">DROP DOWN(gram) </t>
  </si>
  <si>
    <t>loop colour</t>
  </si>
  <si>
    <t>manual(numaric)</t>
  </si>
  <si>
    <t>free height</t>
  </si>
  <si>
    <t>short loop</t>
  </si>
  <si>
    <t>long loop</t>
  </si>
  <si>
    <t>width(numbers)</t>
  </si>
  <si>
    <t>height(numbers)</t>
  </si>
  <si>
    <t>micron(numbers)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</si>
</sst>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u/>
      <sz val="26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u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11" xfId="0" applyBorder="1"/>
    <xf numFmtId="0" fontId="2" fillId="0" borderId="11" xfId="0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6" fillId="0" borderId="0" xfId="0" applyFont="1"/>
    <xf numFmtId="0" fontId="0" fillId="0" borderId="9" xfId="0" applyBorder="1"/>
    <xf numFmtId="0" fontId="2" fillId="0" borderId="31" xfId="0" applyFont="1" applyBorder="1" applyAlignment="1">
      <alignment horizontal="center" vertical="center"/>
    </xf>
    <xf numFmtId="20" fontId="2" fillId="0" borderId="3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7" xfId="0" applyFont="1" applyBorder="1"/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8" fillId="0" borderId="34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0" fillId="0" borderId="48" xfId="0" applyBorder="1"/>
    <xf numFmtId="0" fontId="0" fillId="0" borderId="34" xfId="0" applyBorder="1"/>
    <xf numFmtId="0" fontId="2" fillId="0" borderId="31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1" fontId="6" fillId="0" borderId="11" xfId="0" applyNumberFormat="1" applyFont="1" applyBorder="1" applyAlignment="1">
      <alignment horizontal="center"/>
    </xf>
    <xf numFmtId="1" fontId="8" fillId="0" borderId="11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13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2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2" fillId="0" borderId="51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49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2" fillId="0" borderId="4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47" xfId="0" applyFont="1" applyBorder="1" applyAlignment="1">
      <alignment horizontal="left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43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40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21" xfId="0" applyFont="1" applyBorder="1" applyAlignment="1">
      <alignment horizontal="left" vertical="top"/>
    </xf>
    <xf numFmtId="1" fontId="2" fillId="0" borderId="39" xfId="0" applyNumberFormat="1" applyFont="1" applyBorder="1" applyAlignment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1" fontId="2" fillId="0" borderId="3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2" fillId="0" borderId="20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0" fontId="1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9" fillId="0" borderId="2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8" fillId="0" borderId="50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4"/>
  <sheetViews>
    <sheetView tabSelected="1" workbookViewId="0">
      <selection activeCell="G7" sqref="G7:H7"/>
    </sheetView>
  </sheetViews>
  <sheetFormatPr defaultRowHeight="15" x14ac:dyDescent="0.25"/>
  <cols>
    <col min="1" max="1" width="6.42578125" customWidth="1"/>
    <col min="2" max="2" width="15" customWidth="1"/>
    <col min="3" max="3" width="7.7109375" customWidth="1"/>
    <col min="4" max="5" width="15.140625" bestFit="1" customWidth="1"/>
    <col min="6" max="6" width="10.140625" bestFit="1" customWidth="1"/>
    <col min="7" max="7" width="8.7109375" customWidth="1"/>
    <col min="8" max="8" width="10.85546875" customWidth="1"/>
    <col min="9" max="9" width="18.5703125" bestFit="1" customWidth="1"/>
    <col min="10" max="10" width="17.5703125" bestFit="1" customWidth="1"/>
    <col min="11" max="11" width="18.140625" bestFit="1" customWidth="1"/>
    <col min="12" max="12" width="9.42578125" customWidth="1"/>
  </cols>
  <sheetData>
    <row r="1" spans="1:21" ht="35.25" customHeight="1" thickBot="1" x14ac:dyDescent="0.3">
      <c r="A1" s="15" t="s">
        <v>58</v>
      </c>
      <c r="B1" s="93" t="s">
        <v>75</v>
      </c>
      <c r="C1" s="94"/>
      <c r="D1" s="94"/>
      <c r="E1" s="94"/>
      <c r="F1" s="94"/>
      <c r="G1" s="94"/>
      <c r="H1" s="94"/>
      <c r="I1" s="94"/>
      <c r="J1" s="94"/>
      <c r="K1" s="95"/>
    </row>
    <row r="2" spans="1:21" ht="19.5" thickBot="1" x14ac:dyDescent="0.35">
      <c r="A2" s="16"/>
      <c r="B2" s="96" t="s">
        <v>0</v>
      </c>
      <c r="C2" s="97"/>
      <c r="D2" s="67" t="s">
        <v>80</v>
      </c>
      <c r="E2" s="68"/>
      <c r="F2" s="69"/>
      <c r="G2" s="98" t="s">
        <v>1</v>
      </c>
      <c r="H2" s="98"/>
      <c r="I2" s="99" t="s">
        <v>83</v>
      </c>
      <c r="J2" s="100"/>
      <c r="K2" s="101"/>
      <c r="L2" s="9" t="s">
        <v>2</v>
      </c>
      <c r="M2" s="1" t="e">
        <f>(E12*2)/100</f>
        <v>#VALUE!</v>
      </c>
      <c r="O2" s="45" t="s">
        <v>69</v>
      </c>
      <c r="P2" s="45"/>
      <c r="Q2" s="43" t="e">
        <f>(D6+E6)*2.54/2-10</f>
        <v>#VALUE!</v>
      </c>
      <c r="R2" s="43"/>
      <c r="S2" s="43"/>
    </row>
    <row r="3" spans="1:21" ht="16.5" thickBot="1" x14ac:dyDescent="0.3">
      <c r="A3" s="17"/>
      <c r="B3" s="70" t="s">
        <v>3</v>
      </c>
      <c r="C3" s="70"/>
      <c r="D3" s="67" t="s">
        <v>80</v>
      </c>
      <c r="E3" s="68"/>
      <c r="F3" s="69"/>
      <c r="G3" s="65" t="s">
        <v>4</v>
      </c>
      <c r="H3" s="65"/>
      <c r="I3" s="92" t="s">
        <v>83</v>
      </c>
      <c r="J3" s="61"/>
      <c r="K3" s="64"/>
      <c r="L3" s="9" t="s">
        <v>5</v>
      </c>
      <c r="M3" s="1" t="e">
        <f>(D14+E14)*2/100</f>
        <v>#VALUE!</v>
      </c>
      <c r="O3" s="42" t="s">
        <v>70</v>
      </c>
      <c r="P3" s="42"/>
      <c r="Q3" s="44" t="e">
        <f>I9/2.2*5/4/40</f>
        <v>#VALUE!</v>
      </c>
      <c r="R3" s="44"/>
      <c r="S3" s="44"/>
    </row>
    <row r="4" spans="1:21" ht="16.5" thickBot="1" x14ac:dyDescent="0.3">
      <c r="A4" s="17"/>
      <c r="B4" s="70" t="s">
        <v>6</v>
      </c>
      <c r="C4" s="70"/>
      <c r="D4" s="67" t="s">
        <v>80</v>
      </c>
      <c r="E4" s="68"/>
      <c r="F4" s="69"/>
      <c r="G4" s="65" t="s">
        <v>7</v>
      </c>
      <c r="H4" s="65"/>
      <c r="I4" s="110" t="s">
        <v>84</v>
      </c>
      <c r="J4" s="111"/>
      <c r="K4" s="112"/>
      <c r="L4" s="9" t="s">
        <v>8</v>
      </c>
      <c r="M4" s="1" t="e">
        <f>(D16+E16)/100</f>
        <v>#VALUE!</v>
      </c>
      <c r="O4" s="42" t="s">
        <v>19</v>
      </c>
      <c r="P4" s="42"/>
      <c r="Q4" s="2">
        <v>0</v>
      </c>
      <c r="R4" s="2">
        <v>34</v>
      </c>
      <c r="S4" s="2">
        <f>Q4*R4</f>
        <v>0</v>
      </c>
    </row>
    <row r="5" spans="1:21" ht="15.75" x14ac:dyDescent="0.25">
      <c r="A5" s="17"/>
      <c r="B5" s="70" t="s">
        <v>9</v>
      </c>
      <c r="C5" s="70"/>
      <c r="D5" s="67" t="s">
        <v>80</v>
      </c>
      <c r="E5" s="68"/>
      <c r="F5" s="69"/>
      <c r="G5" s="65" t="s">
        <v>10</v>
      </c>
      <c r="H5" s="65"/>
      <c r="I5" s="92" t="s">
        <v>83</v>
      </c>
      <c r="J5" s="61"/>
      <c r="K5" s="64"/>
      <c r="L5" s="9" t="s">
        <v>11</v>
      </c>
      <c r="M5" s="1" t="e">
        <f>(D17+E17)/100</f>
        <v>#VALUE!</v>
      </c>
      <c r="O5" s="42" t="s">
        <v>71</v>
      </c>
      <c r="P5" s="42"/>
      <c r="Q5" s="33" t="e">
        <f>F6*2.54</f>
        <v>#VALUE!</v>
      </c>
      <c r="R5" s="33">
        <v>0</v>
      </c>
      <c r="S5" s="34" t="e">
        <f>Q5*R5%</f>
        <v>#VALUE!</v>
      </c>
    </row>
    <row r="6" spans="1:21" ht="25.5" customHeight="1" x14ac:dyDescent="0.25">
      <c r="A6" s="17"/>
      <c r="B6" s="103" t="s">
        <v>61</v>
      </c>
      <c r="C6" s="104"/>
      <c r="D6" s="23" t="s">
        <v>81</v>
      </c>
      <c r="E6" s="2" t="s">
        <v>23</v>
      </c>
      <c r="F6" s="10" t="s">
        <v>82</v>
      </c>
      <c r="G6" s="65" t="s">
        <v>59</v>
      </c>
      <c r="H6" s="65"/>
      <c r="I6" s="41" t="s">
        <v>89</v>
      </c>
      <c r="J6" s="2" t="s">
        <v>88</v>
      </c>
      <c r="K6" s="40" t="s">
        <v>90</v>
      </c>
      <c r="L6" s="9" t="s">
        <v>12</v>
      </c>
      <c r="M6" s="1" t="e">
        <f>(D18+E18)/100</f>
        <v>#VALUE!</v>
      </c>
    </row>
    <row r="7" spans="1:21" ht="15.75" x14ac:dyDescent="0.25">
      <c r="A7" s="17"/>
      <c r="B7" s="103" t="s">
        <v>13</v>
      </c>
      <c r="C7" s="104"/>
      <c r="D7" s="23" t="s">
        <v>85</v>
      </c>
      <c r="E7" s="2" t="s">
        <v>23</v>
      </c>
      <c r="F7" s="10" t="s">
        <v>82</v>
      </c>
      <c r="G7" s="65" t="s">
        <v>14</v>
      </c>
      <c r="H7" s="65"/>
      <c r="I7" s="23" t="s">
        <v>92</v>
      </c>
      <c r="J7" s="2" t="s">
        <v>93</v>
      </c>
      <c r="K7" s="10" t="s">
        <v>94</v>
      </c>
      <c r="L7" s="9" t="s">
        <v>15</v>
      </c>
      <c r="M7" s="1" t="e">
        <f>(D19+E19)/100</f>
        <v>#VALUE!</v>
      </c>
      <c r="N7" s="36" t="s">
        <v>76</v>
      </c>
      <c r="O7" s="2">
        <v>500</v>
      </c>
      <c r="P7" s="2">
        <v>750</v>
      </c>
      <c r="Q7" s="2">
        <v>1000</v>
      </c>
      <c r="R7" s="2">
        <v>1250</v>
      </c>
      <c r="S7" s="2">
        <v>1500</v>
      </c>
      <c r="T7" s="36">
        <v>1800</v>
      </c>
      <c r="U7" s="36">
        <v>2000</v>
      </c>
    </row>
    <row r="8" spans="1:21" ht="16.5" thickBot="1" x14ac:dyDescent="0.3">
      <c r="A8" s="17"/>
      <c r="B8" s="65" t="s">
        <v>16</v>
      </c>
      <c r="C8" s="65"/>
      <c r="D8" s="23" t="s">
        <v>85</v>
      </c>
      <c r="E8" s="2" t="s">
        <v>23</v>
      </c>
      <c r="F8" s="10" t="s">
        <v>82</v>
      </c>
      <c r="G8" s="55" t="s">
        <v>17</v>
      </c>
      <c r="H8" s="55"/>
      <c r="I8" s="23" t="s">
        <v>95</v>
      </c>
      <c r="J8" s="2" t="s">
        <v>96</v>
      </c>
      <c r="K8" s="10" t="s">
        <v>97</v>
      </c>
      <c r="L8" s="9" t="s">
        <v>18</v>
      </c>
      <c r="M8" s="1" t="e">
        <f>(F25)/100</f>
        <v>#VALUE!</v>
      </c>
      <c r="N8" s="36" t="s">
        <v>77</v>
      </c>
      <c r="O8" s="2">
        <v>30</v>
      </c>
      <c r="P8" s="2">
        <v>30</v>
      </c>
      <c r="Q8" s="2">
        <v>40</v>
      </c>
      <c r="R8" s="2">
        <v>45</v>
      </c>
      <c r="S8" s="2">
        <v>50</v>
      </c>
      <c r="T8" s="36">
        <v>55</v>
      </c>
      <c r="U8" s="36">
        <v>60</v>
      </c>
    </row>
    <row r="9" spans="1:21" ht="24" customHeight="1" thickBot="1" x14ac:dyDescent="0.3">
      <c r="A9" s="17"/>
      <c r="B9" s="53" t="s">
        <v>19</v>
      </c>
      <c r="C9" s="54"/>
      <c r="D9" s="24" t="s">
        <v>86</v>
      </c>
      <c r="E9" s="20" t="s">
        <v>87</v>
      </c>
      <c r="F9" s="25" t="s">
        <v>38</v>
      </c>
      <c r="G9" s="55" t="s">
        <v>20</v>
      </c>
      <c r="H9" s="55"/>
      <c r="I9" s="105" t="s">
        <v>91</v>
      </c>
      <c r="J9" s="106"/>
      <c r="K9" s="11" t="s">
        <v>91</v>
      </c>
      <c r="L9" s="9" t="s">
        <v>21</v>
      </c>
      <c r="M9" s="1"/>
      <c r="N9" s="36" t="s">
        <v>78</v>
      </c>
      <c r="O9" s="5" t="e">
        <f>(F6)*50%</f>
        <v>#VALUE!</v>
      </c>
      <c r="P9" s="5" t="e">
        <f>(F6)*50%</f>
        <v>#VALUE!</v>
      </c>
      <c r="Q9" s="5" t="e">
        <f>(F6)*60%</f>
        <v>#VALUE!</v>
      </c>
      <c r="R9" s="5" t="e">
        <f>(F6)*65%</f>
        <v>#VALUE!</v>
      </c>
      <c r="S9" s="5" t="e">
        <f>(F6)*70%</f>
        <v>#VALUE!</v>
      </c>
      <c r="T9" s="5" t="e">
        <f>(F6)*75%</f>
        <v>#VALUE!</v>
      </c>
      <c r="U9" s="5" t="e">
        <f>(F6)*80%</f>
        <v>#VALUE!</v>
      </c>
    </row>
    <row r="10" spans="1:21" ht="15.75" thickBot="1" x14ac:dyDescent="0.3">
      <c r="A10" s="17"/>
      <c r="B10" s="107"/>
      <c r="C10" s="107"/>
      <c r="D10" s="107"/>
      <c r="E10" s="107"/>
      <c r="F10" s="107"/>
      <c r="G10" s="107"/>
      <c r="H10" s="107"/>
      <c r="I10" s="107"/>
      <c r="J10" s="107"/>
      <c r="K10" s="108"/>
      <c r="L10" s="9"/>
      <c r="M10" s="1" t="e">
        <f>SUM(M2:M9)</f>
        <v>#VALUE!</v>
      </c>
    </row>
    <row r="11" spans="1:21" ht="21.75" customHeight="1" thickBot="1" x14ac:dyDescent="0.3">
      <c r="A11" s="17"/>
      <c r="B11" s="26" t="s">
        <v>22</v>
      </c>
      <c r="C11" s="26" t="s">
        <v>38</v>
      </c>
      <c r="D11" s="19" t="s">
        <v>23</v>
      </c>
      <c r="E11" s="19" t="s">
        <v>60</v>
      </c>
      <c r="F11" s="19" t="s">
        <v>24</v>
      </c>
      <c r="G11" s="19" t="s">
        <v>25</v>
      </c>
      <c r="H11" s="19" t="s">
        <v>26</v>
      </c>
      <c r="I11" s="19" t="s">
        <v>27</v>
      </c>
      <c r="J11" s="109" t="s">
        <v>28</v>
      </c>
      <c r="K11" s="49"/>
    </row>
    <row r="12" spans="1:21" ht="15.75" x14ac:dyDescent="0.25">
      <c r="A12" s="17"/>
      <c r="B12" s="27" t="s">
        <v>29</v>
      </c>
      <c r="C12" s="27"/>
      <c r="D12" s="3" t="e">
        <f>(E6)+12</f>
        <v>#VALUE!</v>
      </c>
      <c r="E12" s="3" t="e">
        <f>((F6*2+D6))+14</f>
        <v>#VALUE!</v>
      </c>
      <c r="F12" s="4" t="e">
        <f>D9*1</f>
        <v>#VALUE!</v>
      </c>
      <c r="G12" s="4" t="e">
        <f>E9*1</f>
        <v>#VALUE!</v>
      </c>
      <c r="H12" s="4" t="e">
        <f t="shared" ref="H12:H20" si="0">F12+G12</f>
        <v>#VALUE!</v>
      </c>
      <c r="I12" s="3" t="e">
        <f>(D12*E12*H12)/10000</f>
        <v>#VALUE!</v>
      </c>
      <c r="J12" s="118" t="e">
        <f>(L12+M12)</f>
        <v>#VALUE!</v>
      </c>
      <c r="K12" s="119"/>
      <c r="L12" t="e">
        <f>(E12/100)*D5</f>
        <v>#VALUE!</v>
      </c>
      <c r="M12" t="e">
        <f t="shared" ref="M12:M19" si="1">L12*8%</f>
        <v>#VALUE!</v>
      </c>
    </row>
    <row r="13" spans="1:21" ht="15.75" x14ac:dyDescent="0.25">
      <c r="A13" s="17"/>
      <c r="B13" s="28" t="s">
        <v>30</v>
      </c>
      <c r="C13" s="28"/>
      <c r="D13" s="5" t="e">
        <f>(D6)+12</f>
        <v>#VALUE!</v>
      </c>
      <c r="E13" s="2" t="e">
        <f>(F6)+12</f>
        <v>#VALUE!</v>
      </c>
      <c r="F13" s="2" t="e">
        <f>D9*1</f>
        <v>#VALUE!</v>
      </c>
      <c r="G13" s="2" t="e">
        <f>E9*1</f>
        <v>#VALUE!</v>
      </c>
      <c r="H13" s="4" t="e">
        <f t="shared" si="0"/>
        <v>#VALUE!</v>
      </c>
      <c r="I13" s="3" t="e">
        <f>(D13*E13*H13)/10000*2</f>
        <v>#VALUE!</v>
      </c>
      <c r="J13" s="56" t="e">
        <f t="shared" ref="J13:J19" si="2">L13+M13</f>
        <v>#VALUE!</v>
      </c>
      <c r="K13" s="57"/>
      <c r="L13" t="e">
        <f>(E13*2)/100*D5</f>
        <v>#VALUE!</v>
      </c>
      <c r="M13" t="e">
        <f t="shared" si="1"/>
        <v>#VALUE!</v>
      </c>
    </row>
    <row r="14" spans="1:21" ht="15.75" x14ac:dyDescent="0.25">
      <c r="A14" s="17"/>
      <c r="B14" s="28" t="s">
        <v>31</v>
      </c>
      <c r="C14" s="28"/>
      <c r="D14" s="5" t="e">
        <f>(D6)+12</f>
        <v>#VALUE!</v>
      </c>
      <c r="E14" s="5" t="e">
        <f>(E6)+12</f>
        <v>#VALUE!</v>
      </c>
      <c r="F14" s="2">
        <v>0</v>
      </c>
      <c r="G14" s="2">
        <v>0</v>
      </c>
      <c r="H14" s="4">
        <f t="shared" si="0"/>
        <v>0</v>
      </c>
      <c r="I14" s="3" t="e">
        <f t="shared" ref="I14:I20" si="3">(D14*E14*H14)/10000</f>
        <v>#VALUE!</v>
      </c>
      <c r="J14" s="56" t="e">
        <f t="shared" si="2"/>
        <v>#VALUE!</v>
      </c>
      <c r="K14" s="57"/>
      <c r="L14" t="e">
        <f>E14*D5/100</f>
        <v>#VALUE!</v>
      </c>
      <c r="M14" t="e">
        <f t="shared" si="1"/>
        <v>#VALUE!</v>
      </c>
    </row>
    <row r="15" spans="1:21" ht="15.75" x14ac:dyDescent="0.25">
      <c r="A15" s="17"/>
      <c r="B15" s="28" t="s">
        <v>32</v>
      </c>
      <c r="C15" s="28"/>
      <c r="D15" s="5" t="e">
        <f>(D6)+12</f>
        <v>#VALUE!</v>
      </c>
      <c r="E15" s="5" t="e">
        <f>(E6)+12</f>
        <v>#VALUE!</v>
      </c>
      <c r="F15" s="2">
        <v>0</v>
      </c>
      <c r="G15" s="2">
        <v>0</v>
      </c>
      <c r="H15" s="4">
        <f t="shared" si="0"/>
        <v>0</v>
      </c>
      <c r="I15" s="3" t="e">
        <f t="shared" si="3"/>
        <v>#VALUE!</v>
      </c>
      <c r="J15" s="56" t="e">
        <f t="shared" si="2"/>
        <v>#VALUE!</v>
      </c>
      <c r="K15" s="57"/>
      <c r="L15" t="e">
        <f>E15*D5/100</f>
        <v>#VALUE!</v>
      </c>
      <c r="M15" t="e">
        <f t="shared" si="1"/>
        <v>#VALUE!</v>
      </c>
    </row>
    <row r="16" spans="1:21" ht="15.75" x14ac:dyDescent="0.25">
      <c r="A16" s="17"/>
      <c r="B16" s="28" t="s">
        <v>62</v>
      </c>
      <c r="C16" s="28"/>
      <c r="D16" s="5" t="e">
        <f>(F7)+5</f>
        <v>#VALUE!</v>
      </c>
      <c r="E16" s="5" t="e">
        <f>(E7)*3.14+13</f>
        <v>#VALUE!</v>
      </c>
      <c r="F16" s="2">
        <v>0</v>
      </c>
      <c r="G16" s="2">
        <v>0</v>
      </c>
      <c r="H16" s="4">
        <f>F16+G16</f>
        <v>0</v>
      </c>
      <c r="I16" s="3" t="e">
        <f t="shared" si="3"/>
        <v>#VALUE!</v>
      </c>
      <c r="J16" s="56" t="e">
        <f t="shared" si="2"/>
        <v>#VALUE!</v>
      </c>
      <c r="K16" s="57"/>
      <c r="L16" t="e">
        <f>E16*D5/100</f>
        <v>#VALUE!</v>
      </c>
      <c r="M16" t="e">
        <f t="shared" si="1"/>
        <v>#VALUE!</v>
      </c>
    </row>
    <row r="17" spans="1:13" ht="15.75" x14ac:dyDescent="0.25">
      <c r="A17" s="17"/>
      <c r="B17" s="28" t="s">
        <v>33</v>
      </c>
      <c r="C17" s="28"/>
      <c r="D17" s="2" t="e">
        <f>(D7)+5</f>
        <v>#VALUE!</v>
      </c>
      <c r="E17" s="5" t="e">
        <f>(((D6*2)+(E6*2)))+13</f>
        <v>#VALUE!</v>
      </c>
      <c r="F17" s="2">
        <v>0</v>
      </c>
      <c r="G17" s="2">
        <v>0</v>
      </c>
      <c r="H17" s="4">
        <f t="shared" si="0"/>
        <v>0</v>
      </c>
      <c r="I17" s="3" t="e">
        <f t="shared" si="3"/>
        <v>#VALUE!</v>
      </c>
      <c r="J17" s="56" t="e">
        <f t="shared" si="2"/>
        <v>#VALUE!</v>
      </c>
      <c r="K17" s="57"/>
      <c r="L17" t="e">
        <f>E17*D5/100</f>
        <v>#VALUE!</v>
      </c>
      <c r="M17" t="e">
        <f t="shared" si="1"/>
        <v>#VALUE!</v>
      </c>
    </row>
    <row r="18" spans="1:13" ht="15.75" x14ac:dyDescent="0.25">
      <c r="A18" s="17"/>
      <c r="B18" s="28" t="s">
        <v>34</v>
      </c>
      <c r="C18" s="28"/>
      <c r="D18" s="5" t="e">
        <f>(F8)+5</f>
        <v>#VALUE!</v>
      </c>
      <c r="E18" s="5" t="e">
        <f>(E8)*3.14+13</f>
        <v>#VALUE!</v>
      </c>
      <c r="F18" s="2">
        <v>0</v>
      </c>
      <c r="G18" s="2">
        <v>0</v>
      </c>
      <c r="H18" s="4">
        <f t="shared" si="0"/>
        <v>0</v>
      </c>
      <c r="I18" s="3" t="e">
        <f t="shared" si="3"/>
        <v>#VALUE!</v>
      </c>
      <c r="J18" s="56" t="e">
        <f t="shared" si="2"/>
        <v>#VALUE!</v>
      </c>
      <c r="K18" s="57"/>
      <c r="L18" t="e">
        <f>E18*D5/100</f>
        <v>#VALUE!</v>
      </c>
      <c r="M18" t="e">
        <f t="shared" si="1"/>
        <v>#VALUE!</v>
      </c>
    </row>
    <row r="19" spans="1:13" ht="15.75" x14ac:dyDescent="0.25">
      <c r="A19" s="17"/>
      <c r="B19" s="37" t="s">
        <v>35</v>
      </c>
      <c r="C19" s="28"/>
      <c r="D19" s="5" t="e">
        <f>(D8/2+F8)+17</f>
        <v>#VALUE!</v>
      </c>
      <c r="E19" s="5" t="e">
        <f>(D8)*3.14+13</f>
        <v>#VALUE!</v>
      </c>
      <c r="F19" s="2">
        <v>0</v>
      </c>
      <c r="G19" s="2">
        <v>0</v>
      </c>
      <c r="H19" s="4">
        <f t="shared" si="0"/>
        <v>0</v>
      </c>
      <c r="I19" s="3" t="e">
        <f t="shared" si="3"/>
        <v>#VALUE!</v>
      </c>
      <c r="J19" s="56" t="e">
        <f t="shared" si="2"/>
        <v>#VALUE!</v>
      </c>
      <c r="K19" s="57"/>
      <c r="L19" t="e">
        <f>E19*D5/100</f>
        <v>#VALUE!</v>
      </c>
      <c r="M19" t="e">
        <f t="shared" si="1"/>
        <v>#VALUE!</v>
      </c>
    </row>
    <row r="20" spans="1:13" ht="16.5" thickBot="1" x14ac:dyDescent="0.3">
      <c r="A20" s="17"/>
      <c r="B20" s="29" t="s">
        <v>36</v>
      </c>
      <c r="C20" s="29"/>
      <c r="D20" s="20"/>
      <c r="E20" s="20"/>
      <c r="F20" s="20">
        <v>0</v>
      </c>
      <c r="G20" s="20">
        <v>0</v>
      </c>
      <c r="H20" s="21">
        <f t="shared" si="0"/>
        <v>0</v>
      </c>
      <c r="I20" s="21">
        <f t="shared" si="3"/>
        <v>0</v>
      </c>
      <c r="J20" s="58"/>
      <c r="K20" s="59"/>
    </row>
    <row r="21" spans="1:13" ht="16.5" thickBot="1" x14ac:dyDescent="0.3">
      <c r="A21" s="17"/>
      <c r="B21" s="60" t="s">
        <v>37</v>
      </c>
      <c r="C21" s="60"/>
      <c r="D21" s="60"/>
      <c r="E21" s="60"/>
      <c r="F21" s="60"/>
      <c r="G21" s="60"/>
      <c r="H21" s="60"/>
      <c r="I21" s="113" t="e">
        <f>SUM(I12:I20)</f>
        <v>#VALUE!</v>
      </c>
      <c r="J21" s="114"/>
      <c r="K21" s="115"/>
    </row>
    <row r="22" spans="1:13" ht="16.5" thickBot="1" x14ac:dyDescent="0.3">
      <c r="A22" s="17"/>
      <c r="B22" s="72" t="s">
        <v>22</v>
      </c>
      <c r="C22" s="73"/>
      <c r="D22" s="22" t="s">
        <v>38</v>
      </c>
      <c r="E22" s="6" t="s">
        <v>23</v>
      </c>
      <c r="F22" s="6" t="s">
        <v>39</v>
      </c>
      <c r="G22" s="6" t="s">
        <v>40</v>
      </c>
      <c r="H22" s="6" t="s">
        <v>41</v>
      </c>
      <c r="I22" s="7" t="s">
        <v>27</v>
      </c>
      <c r="J22" s="116" t="s">
        <v>79</v>
      </c>
      <c r="K22" s="117"/>
    </row>
    <row r="23" spans="1:13" ht="16.5" thickBot="1" x14ac:dyDescent="0.3">
      <c r="A23" s="17"/>
      <c r="B23" s="70" t="s">
        <v>42</v>
      </c>
      <c r="C23" s="102"/>
      <c r="D23" s="18" t="str">
        <f>K6</f>
        <v>loop colour</v>
      </c>
      <c r="E23" s="12" t="e">
        <f>J6*1</f>
        <v>#VALUE!</v>
      </c>
      <c r="F23" s="12" t="e">
        <f>(I7*2+J7+K7)</f>
        <v>#VALUE!</v>
      </c>
      <c r="G23" s="12" t="e">
        <f>I6*1</f>
        <v>#VALUE!</v>
      </c>
      <c r="H23" s="12" t="e">
        <f>F23*4/100</f>
        <v>#VALUE!</v>
      </c>
      <c r="I23" s="13" t="e">
        <f>H23*G23</f>
        <v>#VALUE!</v>
      </c>
      <c r="J23" s="63" t="e">
        <f>I23*D5/1000</f>
        <v>#VALUE!</v>
      </c>
      <c r="K23" s="64"/>
      <c r="L23" t="e">
        <f>D5*H23</f>
        <v>#VALUE!</v>
      </c>
      <c r="M23" t="e">
        <f>L23*8%</f>
        <v>#VALUE!</v>
      </c>
    </row>
    <row r="24" spans="1:13" ht="16.5" thickBot="1" x14ac:dyDescent="0.3">
      <c r="A24" s="17"/>
      <c r="B24" s="65" t="s">
        <v>43</v>
      </c>
      <c r="C24" s="66"/>
      <c r="D24" s="32"/>
      <c r="E24" s="2" t="e">
        <f>J6*1</f>
        <v>#VALUE!</v>
      </c>
      <c r="F24" s="2">
        <v>0</v>
      </c>
      <c r="G24" s="2" t="e">
        <f>I6*1</f>
        <v>#VALUE!</v>
      </c>
      <c r="H24" s="12">
        <f>F24*2/100</f>
        <v>0</v>
      </c>
      <c r="I24" s="12" t="e">
        <f>H24*G24</f>
        <v>#VALUE!</v>
      </c>
      <c r="J24" s="63" t="e">
        <f>I24*D5/1000</f>
        <v>#VALUE!</v>
      </c>
      <c r="K24" s="64"/>
      <c r="L24" t="e">
        <f>D5*H24</f>
        <v>#VALUE!</v>
      </c>
      <c r="M24" t="e">
        <f>L24*8%</f>
        <v>#VALUE!</v>
      </c>
    </row>
    <row r="25" spans="1:13" ht="16.5" thickBot="1" x14ac:dyDescent="0.3">
      <c r="A25" s="17"/>
      <c r="B25" s="65" t="s">
        <v>18</v>
      </c>
      <c r="C25" s="66"/>
      <c r="D25" s="32"/>
      <c r="E25" s="2">
        <v>0</v>
      </c>
      <c r="F25" s="5" t="e">
        <f>((D6*2*2.54)+(E6*2*2.54))+10</f>
        <v>#VALUE!</v>
      </c>
      <c r="G25" s="2">
        <v>0</v>
      </c>
      <c r="H25" s="5" t="e">
        <f>F25/100</f>
        <v>#VALUE!</v>
      </c>
      <c r="I25" s="12" t="e">
        <f>H25*G25</f>
        <v>#VALUE!</v>
      </c>
      <c r="J25" s="63" t="e">
        <f>I25*D5/1000</f>
        <v>#VALUE!</v>
      </c>
      <c r="K25" s="64"/>
      <c r="L25" t="e">
        <f>F25*D5/100</f>
        <v>#VALUE!</v>
      </c>
      <c r="M25" t="e">
        <f>L25*8%</f>
        <v>#VALUE!</v>
      </c>
    </row>
    <row r="26" spans="1:13" ht="16.5" thickBot="1" x14ac:dyDescent="0.3">
      <c r="A26" s="17"/>
      <c r="B26" s="65" t="s">
        <v>44</v>
      </c>
      <c r="C26" s="66"/>
      <c r="D26" s="32"/>
      <c r="E26" s="2">
        <v>0</v>
      </c>
      <c r="F26" s="2">
        <v>0</v>
      </c>
      <c r="G26" s="2">
        <v>6</v>
      </c>
      <c r="H26" s="5">
        <f>F26*3/100</f>
        <v>0</v>
      </c>
      <c r="I26" s="13">
        <f>H26*G26</f>
        <v>0</v>
      </c>
      <c r="J26" s="63" t="e">
        <f>I26*D5/1000</f>
        <v>#VALUE!</v>
      </c>
      <c r="K26" s="64"/>
    </row>
    <row r="27" spans="1:13" ht="15.75" x14ac:dyDescent="0.25">
      <c r="A27" s="17"/>
      <c r="B27" s="65" t="s">
        <v>45</v>
      </c>
      <c r="C27" s="66"/>
      <c r="D27" s="32"/>
      <c r="E27" s="2">
        <v>0</v>
      </c>
      <c r="F27" s="2">
        <v>0</v>
      </c>
      <c r="G27" s="2">
        <v>8</v>
      </c>
      <c r="H27" s="5">
        <f>F27/100</f>
        <v>0</v>
      </c>
      <c r="I27" s="13">
        <f>H27*G27</f>
        <v>0</v>
      </c>
      <c r="J27" s="63" t="e">
        <f>I27*D5/1000</f>
        <v>#VALUE!</v>
      </c>
      <c r="K27" s="64"/>
    </row>
    <row r="28" spans="1:13" ht="15.75" x14ac:dyDescent="0.25">
      <c r="A28" s="17"/>
      <c r="B28" s="65" t="s">
        <v>46</v>
      </c>
      <c r="C28" s="66"/>
      <c r="D28" s="61"/>
      <c r="E28" s="62"/>
      <c r="F28" s="2" t="e">
        <f>I8*1</f>
        <v>#VALUE!</v>
      </c>
      <c r="G28" s="2" t="e">
        <f>J8*1</f>
        <v>#VALUE!</v>
      </c>
      <c r="H28" s="2" t="e">
        <f>K8*1</f>
        <v>#VALUE!</v>
      </c>
      <c r="I28" s="5" t="e">
        <f>(F28*G28*H28*0.923)*2/10000</f>
        <v>#VALUE!</v>
      </c>
      <c r="J28" s="63" t="e">
        <f>I28*D5/1000</f>
        <v>#VALUE!</v>
      </c>
      <c r="K28" s="64"/>
    </row>
    <row r="29" spans="1:13" ht="16.5" thickBot="1" x14ac:dyDescent="0.3">
      <c r="A29" s="17"/>
      <c r="B29" s="83" t="s">
        <v>47</v>
      </c>
      <c r="C29" s="84"/>
      <c r="D29" s="85"/>
      <c r="E29" s="86"/>
      <c r="F29" s="14">
        <v>0</v>
      </c>
      <c r="G29" s="14">
        <v>0</v>
      </c>
      <c r="H29" s="14">
        <v>30</v>
      </c>
      <c r="I29" s="5">
        <f>((F29*G29*2.54*2*H29*0.923))/1000</f>
        <v>0</v>
      </c>
      <c r="J29" s="81"/>
      <c r="K29" s="82"/>
    </row>
    <row r="30" spans="1:13" ht="16.5" thickBot="1" x14ac:dyDescent="0.3">
      <c r="A30" s="17"/>
      <c r="B30" s="51" t="s">
        <v>48</v>
      </c>
      <c r="C30" s="52"/>
      <c r="D30" s="48"/>
      <c r="E30" s="49"/>
      <c r="F30" s="48" t="str">
        <f>D2</f>
        <v>AUTO FROM PO</v>
      </c>
      <c r="G30" s="50"/>
      <c r="H30" s="49"/>
      <c r="I30" s="32">
        <v>5</v>
      </c>
      <c r="J30" s="81"/>
      <c r="K30" s="82"/>
    </row>
    <row r="31" spans="1:13" ht="16.5" thickBot="1" x14ac:dyDescent="0.3">
      <c r="A31" s="17"/>
      <c r="B31" s="46" t="s">
        <v>63</v>
      </c>
      <c r="C31" s="47"/>
      <c r="D31" s="48"/>
      <c r="E31" s="49"/>
      <c r="F31" s="48"/>
      <c r="G31" s="50"/>
      <c r="H31" s="49"/>
      <c r="I31" s="32">
        <v>5</v>
      </c>
      <c r="J31" s="81"/>
      <c r="K31" s="82"/>
    </row>
    <row r="32" spans="1:13" ht="15.75" x14ac:dyDescent="0.25">
      <c r="A32" s="17"/>
      <c r="B32" s="51" t="s">
        <v>49</v>
      </c>
      <c r="C32" s="52"/>
      <c r="D32" s="68"/>
      <c r="E32" s="68"/>
      <c r="F32" s="74"/>
      <c r="G32" s="4">
        <v>10</v>
      </c>
      <c r="H32" s="3" t="e">
        <f>M10*1</f>
        <v>#VALUE!</v>
      </c>
      <c r="I32" s="5" t="e">
        <f>H32*G32</f>
        <v>#VALUE!</v>
      </c>
      <c r="J32" s="63" t="e">
        <f>I32*D5/1000</f>
        <v>#VALUE!</v>
      </c>
      <c r="K32" s="64"/>
    </row>
    <row r="33" spans="1:11" ht="15.75" x14ac:dyDescent="0.25">
      <c r="A33" s="17"/>
      <c r="B33" s="65" t="s">
        <v>50</v>
      </c>
      <c r="C33" s="66"/>
      <c r="D33" s="61"/>
      <c r="E33" s="61"/>
      <c r="F33" s="62"/>
      <c r="G33" s="2">
        <v>6</v>
      </c>
      <c r="H33" s="5" t="e">
        <f>M10*1</f>
        <v>#VALUE!</v>
      </c>
      <c r="I33" s="5" t="e">
        <f>H33*G33</f>
        <v>#VALUE!</v>
      </c>
      <c r="J33" s="63" t="e">
        <f>I33*D5/1000</f>
        <v>#VALUE!</v>
      </c>
      <c r="K33" s="64"/>
    </row>
    <row r="34" spans="1:11" ht="15.75" x14ac:dyDescent="0.25">
      <c r="A34" s="17"/>
      <c r="B34" s="65" t="s">
        <v>51</v>
      </c>
      <c r="C34" s="66"/>
      <c r="D34" s="61"/>
      <c r="E34" s="61"/>
      <c r="F34" s="62"/>
      <c r="G34" s="2">
        <v>0</v>
      </c>
      <c r="H34" s="2">
        <v>0</v>
      </c>
      <c r="I34" s="2">
        <f>G34*H34</f>
        <v>0</v>
      </c>
      <c r="J34" s="81"/>
      <c r="K34" s="82"/>
    </row>
    <row r="35" spans="1:11" ht="15.75" x14ac:dyDescent="0.25">
      <c r="A35" s="17"/>
      <c r="B35" s="65" t="s">
        <v>7</v>
      </c>
      <c r="C35" s="66"/>
      <c r="D35" s="61" t="str">
        <f>I4</f>
        <v>DROP DOWN(PRINTED /UNPRINTED-IF YES - SIDE /COLOUR)</v>
      </c>
      <c r="E35" s="62"/>
      <c r="F35" s="63"/>
      <c r="G35" s="62"/>
      <c r="H35" s="2"/>
      <c r="I35" s="2"/>
      <c r="J35" s="81"/>
      <c r="K35" s="82"/>
    </row>
    <row r="36" spans="1:11" ht="16.5" thickBot="1" x14ac:dyDescent="0.3">
      <c r="A36" s="17"/>
      <c r="B36" s="55" t="s">
        <v>52</v>
      </c>
      <c r="C36" s="120"/>
      <c r="D36" s="85"/>
      <c r="E36" s="85"/>
      <c r="F36" s="85"/>
      <c r="G36" s="85"/>
      <c r="H36" s="86"/>
      <c r="I36" s="14"/>
      <c r="J36" s="121"/>
      <c r="K36" s="122"/>
    </row>
    <row r="37" spans="1:11" ht="19.5" thickBot="1" x14ac:dyDescent="0.3">
      <c r="A37" s="17"/>
      <c r="B37" s="75" t="s">
        <v>53</v>
      </c>
      <c r="C37" s="75"/>
      <c r="D37" s="75"/>
      <c r="E37" s="75"/>
      <c r="F37" s="75"/>
      <c r="G37" s="75"/>
      <c r="H37" s="76"/>
      <c r="I37" s="87" t="e">
        <f>SUM(I23:I34)</f>
        <v>#VALUE!</v>
      </c>
      <c r="J37" s="88"/>
      <c r="K37" s="89"/>
    </row>
    <row r="38" spans="1:11" ht="21.75" thickBot="1" x14ac:dyDescent="0.4">
      <c r="A38" s="17"/>
      <c r="B38" s="77"/>
      <c r="C38" s="77"/>
      <c r="D38" s="77"/>
      <c r="E38" s="77"/>
      <c r="F38" s="77"/>
      <c r="G38" s="77"/>
      <c r="H38" s="78"/>
      <c r="I38" s="90" t="e">
        <f>I37+I21</f>
        <v>#VALUE!</v>
      </c>
      <c r="J38" s="90"/>
      <c r="K38" s="91"/>
    </row>
    <row r="39" spans="1:11" ht="15" customHeight="1" thickBot="1" x14ac:dyDescent="0.35">
      <c r="A39" s="17"/>
      <c r="B39" s="79" t="s">
        <v>54</v>
      </c>
      <c r="C39" s="79"/>
      <c r="D39" s="79"/>
      <c r="E39" s="79"/>
      <c r="F39" s="79"/>
      <c r="G39" s="79"/>
      <c r="H39" s="79"/>
      <c r="I39" s="79"/>
      <c r="J39" s="79"/>
      <c r="K39" s="80"/>
    </row>
    <row r="40" spans="1:11" ht="24" customHeight="1" thickBot="1" x14ac:dyDescent="0.3">
      <c r="A40" s="17"/>
      <c r="B40" s="130" t="s">
        <v>65</v>
      </c>
      <c r="C40" s="130"/>
      <c r="D40" s="134"/>
      <c r="E40" s="131"/>
      <c r="F40" s="132"/>
      <c r="G40" s="132"/>
      <c r="H40" s="132"/>
      <c r="I40" s="132"/>
      <c r="J40" s="132"/>
      <c r="K40" s="133"/>
    </row>
    <row r="41" spans="1:11" ht="24" customHeight="1" thickBot="1" x14ac:dyDescent="0.3">
      <c r="A41" s="17"/>
      <c r="B41" s="130" t="s">
        <v>66</v>
      </c>
      <c r="C41" s="130"/>
      <c r="D41" s="130"/>
      <c r="E41" s="131"/>
      <c r="F41" s="132"/>
      <c r="G41" s="132"/>
      <c r="H41" s="132"/>
      <c r="I41" s="132"/>
      <c r="J41" s="132"/>
      <c r="K41" s="133"/>
    </row>
    <row r="42" spans="1:11" ht="24" customHeight="1" thickBot="1" x14ac:dyDescent="0.3">
      <c r="A42" s="17"/>
      <c r="B42" s="130" t="s">
        <v>67</v>
      </c>
      <c r="C42" s="130"/>
      <c r="D42" s="134"/>
      <c r="E42" s="131"/>
      <c r="F42" s="132"/>
      <c r="G42" s="132"/>
      <c r="H42" s="132"/>
      <c r="I42" s="132"/>
      <c r="J42" s="132"/>
      <c r="K42" s="133"/>
    </row>
    <row r="43" spans="1:11" ht="24" customHeight="1" thickBot="1" x14ac:dyDescent="0.3">
      <c r="A43" s="17"/>
      <c r="B43" s="123" t="s">
        <v>68</v>
      </c>
      <c r="C43" s="123"/>
      <c r="D43" s="124"/>
      <c r="E43" s="125"/>
      <c r="F43" s="126"/>
      <c r="G43" s="126"/>
      <c r="H43" s="126"/>
      <c r="I43" s="126"/>
      <c r="J43" s="126"/>
      <c r="K43" s="127"/>
    </row>
    <row r="44" spans="1:11" ht="24" customHeight="1" thickBot="1" x14ac:dyDescent="0.3">
      <c r="A44" s="17"/>
      <c r="B44" s="128"/>
      <c r="C44" s="128"/>
      <c r="D44" s="128"/>
      <c r="E44" s="128"/>
      <c r="F44" s="128"/>
      <c r="G44" s="128"/>
      <c r="H44" s="129"/>
      <c r="I44" s="35" t="s">
        <v>73</v>
      </c>
      <c r="J44" s="135"/>
      <c r="K44" s="129"/>
    </row>
    <row r="45" spans="1:11" ht="24" customHeight="1" thickBot="1" x14ac:dyDescent="0.3">
      <c r="A45" s="17"/>
      <c r="B45" s="128"/>
      <c r="C45" s="128"/>
      <c r="D45" s="128"/>
      <c r="E45" s="128"/>
      <c r="F45" s="128"/>
      <c r="G45" s="128"/>
      <c r="H45" s="129"/>
      <c r="I45" s="35" t="s">
        <v>72</v>
      </c>
      <c r="J45" s="136" t="e">
        <f>I38</f>
        <v>#VALUE!</v>
      </c>
      <c r="K45" s="129"/>
    </row>
    <row r="46" spans="1:11" ht="24" customHeight="1" thickBot="1" x14ac:dyDescent="0.3">
      <c r="A46" s="38"/>
      <c r="B46" s="128"/>
      <c r="C46" s="128"/>
      <c r="D46" s="128"/>
      <c r="E46" s="128"/>
      <c r="F46" s="128"/>
      <c r="G46" s="128"/>
      <c r="H46" s="129"/>
      <c r="I46" s="35" t="s">
        <v>74</v>
      </c>
      <c r="J46" s="136" t="e">
        <f>J45-J44</f>
        <v>#VALUE!</v>
      </c>
      <c r="K46" s="129"/>
    </row>
    <row r="47" spans="1:11" ht="21.75" customHeight="1" thickBot="1" x14ac:dyDescent="0.3">
      <c r="A47" s="39"/>
      <c r="B47" s="128" t="s">
        <v>64</v>
      </c>
      <c r="C47" s="128"/>
      <c r="D47" s="128"/>
      <c r="E47" s="128"/>
      <c r="F47" s="129"/>
      <c r="G47" s="128"/>
      <c r="H47" s="128"/>
      <c r="I47" s="128"/>
      <c r="J47" s="128"/>
      <c r="K47" s="129"/>
    </row>
    <row r="48" spans="1:11" ht="20.25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2:10" ht="18.75" x14ac:dyDescent="0.3">
      <c r="B49" s="71" t="s">
        <v>55</v>
      </c>
      <c r="C49" s="71"/>
      <c r="D49" s="71"/>
      <c r="F49" s="71" t="s">
        <v>56</v>
      </c>
      <c r="G49" s="71"/>
      <c r="H49" s="8"/>
      <c r="I49" s="8" t="s">
        <v>57</v>
      </c>
      <c r="J49" s="8"/>
    </row>
    <row r="50" spans="2:10" ht="18.75" x14ac:dyDescent="0.3">
      <c r="B50" s="30"/>
      <c r="C50" s="30"/>
      <c r="D50" s="30"/>
      <c r="F50" s="30"/>
      <c r="G50" s="30"/>
      <c r="H50" s="8"/>
      <c r="I50" s="8"/>
      <c r="J50" s="8"/>
    </row>
    <row r="51" spans="2:10" ht="18.75" x14ac:dyDescent="0.3">
      <c r="B51" s="30"/>
      <c r="C51" s="30"/>
      <c r="D51" s="30"/>
      <c r="F51" s="30"/>
      <c r="G51" s="30"/>
      <c r="H51" s="8"/>
      <c r="I51" s="8"/>
      <c r="J51" s="8"/>
    </row>
    <row r="52" spans="2:10" ht="18.75" x14ac:dyDescent="0.3">
      <c r="B52" s="30"/>
      <c r="C52" s="30"/>
      <c r="D52" s="30"/>
      <c r="F52" s="30"/>
      <c r="G52" s="30"/>
      <c r="H52" s="8"/>
      <c r="I52" s="8"/>
      <c r="J52" s="8"/>
    </row>
    <row r="53" spans="2:10" ht="18.75" x14ac:dyDescent="0.3">
      <c r="B53" s="30"/>
      <c r="C53" s="30"/>
      <c r="D53" s="30"/>
      <c r="F53" s="30"/>
      <c r="G53" s="30"/>
      <c r="H53" s="8"/>
      <c r="I53" s="8"/>
      <c r="J53" s="8"/>
    </row>
    <row r="54" spans="2:10" ht="18.75" x14ac:dyDescent="0.3">
      <c r="B54" s="30"/>
      <c r="C54" s="30"/>
      <c r="D54" s="30"/>
      <c r="F54" s="30"/>
      <c r="G54" s="30"/>
      <c r="H54" s="8"/>
      <c r="I54" s="8"/>
      <c r="J54" s="8"/>
    </row>
  </sheetData>
  <mergeCells count="109">
    <mergeCell ref="B43:D43"/>
    <mergeCell ref="E43:K43"/>
    <mergeCell ref="B47:F47"/>
    <mergeCell ref="G47:K47"/>
    <mergeCell ref="B41:D41"/>
    <mergeCell ref="E40:K40"/>
    <mergeCell ref="E41:K41"/>
    <mergeCell ref="B40:D40"/>
    <mergeCell ref="E42:K42"/>
    <mergeCell ref="B42:D42"/>
    <mergeCell ref="B44:H44"/>
    <mergeCell ref="B45:H45"/>
    <mergeCell ref="J44:K44"/>
    <mergeCell ref="J45:K45"/>
    <mergeCell ref="J46:K46"/>
    <mergeCell ref="B46:H46"/>
    <mergeCell ref="B36:C36"/>
    <mergeCell ref="D36:H36"/>
    <mergeCell ref="J26:K26"/>
    <mergeCell ref="B27:C27"/>
    <mergeCell ref="J27:K27"/>
    <mergeCell ref="J36:K36"/>
    <mergeCell ref="J24:K24"/>
    <mergeCell ref="B25:C25"/>
    <mergeCell ref="J25:K25"/>
    <mergeCell ref="B28:C28"/>
    <mergeCell ref="J32:K32"/>
    <mergeCell ref="J33:K33"/>
    <mergeCell ref="I21:K21"/>
    <mergeCell ref="J22:K22"/>
    <mergeCell ref="J12:K12"/>
    <mergeCell ref="J34:K34"/>
    <mergeCell ref="J30:K30"/>
    <mergeCell ref="B35:C35"/>
    <mergeCell ref="D35:E35"/>
    <mergeCell ref="F35:G35"/>
    <mergeCell ref="J35:K35"/>
    <mergeCell ref="B1:K1"/>
    <mergeCell ref="B2:C2"/>
    <mergeCell ref="D2:F2"/>
    <mergeCell ref="G2:H2"/>
    <mergeCell ref="I2:K2"/>
    <mergeCell ref="B23:C23"/>
    <mergeCell ref="J23:K23"/>
    <mergeCell ref="B5:C5"/>
    <mergeCell ref="D5:F5"/>
    <mergeCell ref="G5:H5"/>
    <mergeCell ref="B7:C7"/>
    <mergeCell ref="G7:H7"/>
    <mergeCell ref="B8:C8"/>
    <mergeCell ref="G8:H8"/>
    <mergeCell ref="B6:C6"/>
    <mergeCell ref="G6:H6"/>
    <mergeCell ref="I9:J9"/>
    <mergeCell ref="B10:K10"/>
    <mergeCell ref="J16:K16"/>
    <mergeCell ref="J17:K17"/>
    <mergeCell ref="J11:K11"/>
    <mergeCell ref="I4:K4"/>
    <mergeCell ref="I3:K3"/>
    <mergeCell ref="B3:C3"/>
    <mergeCell ref="D3:F3"/>
    <mergeCell ref="G3:H3"/>
    <mergeCell ref="B4:C4"/>
    <mergeCell ref="D4:F4"/>
    <mergeCell ref="G4:H4"/>
    <mergeCell ref="B33:C33"/>
    <mergeCell ref="B49:D49"/>
    <mergeCell ref="F49:G49"/>
    <mergeCell ref="B22:C22"/>
    <mergeCell ref="B32:C32"/>
    <mergeCell ref="D32:F32"/>
    <mergeCell ref="B34:C34"/>
    <mergeCell ref="D34:F34"/>
    <mergeCell ref="D33:F33"/>
    <mergeCell ref="B37:H38"/>
    <mergeCell ref="B39:K39"/>
    <mergeCell ref="J31:K31"/>
    <mergeCell ref="B29:C29"/>
    <mergeCell ref="D29:E29"/>
    <mergeCell ref="J29:K29"/>
    <mergeCell ref="B24:C24"/>
    <mergeCell ref="I37:K37"/>
    <mergeCell ref="I38:K38"/>
    <mergeCell ref="I5:K5"/>
    <mergeCell ref="O5:P5"/>
    <mergeCell ref="Q2:S2"/>
    <mergeCell ref="Q3:S3"/>
    <mergeCell ref="O2:P2"/>
    <mergeCell ref="O3:P3"/>
    <mergeCell ref="O4:P4"/>
    <mergeCell ref="B31:C31"/>
    <mergeCell ref="D30:E30"/>
    <mergeCell ref="D31:E31"/>
    <mergeCell ref="F30:H30"/>
    <mergeCell ref="F31:H31"/>
    <mergeCell ref="B30:C30"/>
    <mergeCell ref="B9:C9"/>
    <mergeCell ref="G9:H9"/>
    <mergeCell ref="J18:K18"/>
    <mergeCell ref="J19:K19"/>
    <mergeCell ref="J20:K20"/>
    <mergeCell ref="B21:H21"/>
    <mergeCell ref="J13:K13"/>
    <mergeCell ref="J14:K14"/>
    <mergeCell ref="J15:K15"/>
    <mergeCell ref="D28:E28"/>
    <mergeCell ref="J28:K28"/>
    <mergeCell ref="B26:C26"/>
  </mergeCells>
  <pageMargins left="0.38" right="0.2" top="0.16" bottom="0.12" header="0.16" footer="0.3"/>
  <pageSetup paperSize="9" scale="84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2026-04-18T08:57:37Z</dcterms:modified>
</cp:coreProperties>
</file>