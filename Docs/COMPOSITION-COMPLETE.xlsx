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IL SAMBHAV DOC\"/>
    </mc:Choice>
  </mc:AlternateContent>
  <xr:revisionPtr revIDLastSave="0" documentId="13_ncr:1_{824217B7-A944-4257-9B8E-EAD3381941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4" sheetId="7" r:id="rId2"/>
    <sheet name="Sheet2" sheetId="5" r:id="rId3"/>
    <sheet name="Sheet3" sheetId="8" r:id="rId4"/>
    <sheet name="Sheet6" sheetId="10" r:id="rId5"/>
    <sheet name="Sheet7" sheetId="11" r:id="rId6"/>
    <sheet name="Sheet8" sheetId="12" r:id="rId7"/>
    <sheet name="Sheet9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G9" i="1"/>
  <c r="G8" i="1"/>
  <c r="G7" i="1"/>
  <c r="G6" i="1"/>
  <c r="G5" i="1"/>
  <c r="G4" i="1"/>
  <c r="K4" i="1" l="1"/>
  <c r="K8" i="1"/>
  <c r="K5" i="1"/>
  <c r="K9" i="1"/>
  <c r="K6" i="1"/>
  <c r="K7" i="1"/>
  <c r="E10" i="1"/>
  <c r="G10" i="1" l="1"/>
  <c r="K10" i="1"/>
  <c r="K44" i="1"/>
  <c r="G44" i="1"/>
  <c r="E44" i="1"/>
  <c r="J3" i="12" l="1"/>
  <c r="K3" i="12"/>
  <c r="E10" i="12"/>
  <c r="K4" i="12"/>
  <c r="K5" i="12"/>
  <c r="K6" i="12"/>
  <c r="K7" i="12"/>
  <c r="K8" i="12"/>
  <c r="K9" i="12"/>
  <c r="J4" i="12"/>
  <c r="J5" i="12"/>
  <c r="J6" i="12"/>
  <c r="J7" i="12"/>
  <c r="J8" i="12"/>
  <c r="J9" i="12"/>
  <c r="G4" i="12"/>
  <c r="G5" i="12"/>
  <c r="G6" i="12"/>
  <c r="G7" i="12"/>
  <c r="G8" i="12"/>
  <c r="G9" i="12"/>
  <c r="G3" i="12"/>
  <c r="K10" i="12" l="1"/>
  <c r="G10" i="12"/>
  <c r="E15" i="11"/>
  <c r="K11" i="11"/>
  <c r="K4" i="11"/>
  <c r="K5" i="11"/>
  <c r="K6" i="11"/>
  <c r="K7" i="11"/>
  <c r="K8" i="11"/>
  <c r="K9" i="11"/>
  <c r="K10" i="11"/>
  <c r="K12" i="11"/>
  <c r="K13" i="11"/>
  <c r="K14" i="11"/>
  <c r="K3" i="11"/>
  <c r="J4" i="11"/>
  <c r="J5" i="11"/>
  <c r="J6" i="11"/>
  <c r="J7" i="11"/>
  <c r="J8" i="11"/>
  <c r="J9" i="11"/>
  <c r="J10" i="11"/>
  <c r="J11" i="11"/>
  <c r="J12" i="11"/>
  <c r="J13" i="11"/>
  <c r="J14" i="11"/>
  <c r="J3" i="11"/>
  <c r="G4" i="11"/>
  <c r="G5" i="11"/>
  <c r="G6" i="11"/>
  <c r="G7" i="11"/>
  <c r="G8" i="11"/>
  <c r="G9" i="11"/>
  <c r="G10" i="11"/>
  <c r="G11" i="11"/>
  <c r="G12" i="11"/>
  <c r="G13" i="11"/>
  <c r="G14" i="11"/>
  <c r="G3" i="11"/>
  <c r="K15" i="11" l="1"/>
  <c r="G15" i="11"/>
  <c r="E8" i="10"/>
  <c r="K5" i="10"/>
  <c r="K6" i="10"/>
  <c r="K7" i="10"/>
  <c r="K4" i="10"/>
  <c r="K8" i="10" s="1"/>
  <c r="J5" i="10"/>
  <c r="J6" i="10"/>
  <c r="J7" i="10"/>
  <c r="J4" i="10"/>
  <c r="G5" i="10"/>
  <c r="G6" i="10"/>
  <c r="G7" i="10"/>
  <c r="G4" i="10"/>
  <c r="G8" i="10" s="1"/>
  <c r="J14" i="8"/>
  <c r="G13" i="8"/>
  <c r="E16" i="8"/>
  <c r="K5" i="8"/>
  <c r="K6" i="8"/>
  <c r="K7" i="8"/>
  <c r="K8" i="8"/>
  <c r="K9" i="8"/>
  <c r="K10" i="8"/>
  <c r="K11" i="8"/>
  <c r="K12" i="8"/>
  <c r="K13" i="8"/>
  <c r="K14" i="8"/>
  <c r="K15" i="8"/>
  <c r="K4" i="8"/>
  <c r="J15" i="8"/>
  <c r="J5" i="8"/>
  <c r="J6" i="8"/>
  <c r="J7" i="8"/>
  <c r="J8" i="8"/>
  <c r="J9" i="8"/>
  <c r="J10" i="8"/>
  <c r="J11" i="8"/>
  <c r="J12" i="8"/>
  <c r="J13" i="8"/>
  <c r="J4" i="8"/>
  <c r="G6" i="8"/>
  <c r="G15" i="8"/>
  <c r="G14" i="8"/>
  <c r="G5" i="8"/>
  <c r="G7" i="8"/>
  <c r="G8" i="8"/>
  <c r="G9" i="8"/>
  <c r="G10" i="8"/>
  <c r="G11" i="8"/>
  <c r="G12" i="8"/>
  <c r="G4" i="8"/>
  <c r="G3" i="7"/>
  <c r="E17" i="7"/>
  <c r="G4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3" i="7"/>
  <c r="G16" i="8" l="1"/>
  <c r="K16" i="8"/>
  <c r="K17" i="7"/>
  <c r="G5" i="7"/>
  <c r="G6" i="7"/>
  <c r="G7" i="7"/>
  <c r="G8" i="7"/>
  <c r="G9" i="7"/>
  <c r="G10" i="7"/>
  <c r="G11" i="7"/>
  <c r="G12" i="7"/>
  <c r="G15" i="7"/>
  <c r="G16" i="7"/>
  <c r="J9" i="5"/>
  <c r="J8" i="5"/>
  <c r="K9" i="5"/>
  <c r="K8" i="5"/>
  <c r="K7" i="5"/>
  <c r="K6" i="5"/>
  <c r="K5" i="5"/>
  <c r="K4" i="5"/>
  <c r="K3" i="5"/>
  <c r="J4" i="5"/>
  <c r="J5" i="5"/>
  <c r="J6" i="5"/>
  <c r="J7" i="5"/>
  <c r="J3" i="5"/>
  <c r="E10" i="5"/>
  <c r="G4" i="5"/>
  <c r="G5" i="5"/>
  <c r="G6" i="5"/>
  <c r="G7" i="5"/>
  <c r="G8" i="5"/>
  <c r="G9" i="5"/>
  <c r="G3" i="5"/>
  <c r="G17" i="7" l="1"/>
  <c r="K10" i="5"/>
  <c r="G10" i="5"/>
</calcChain>
</file>

<file path=xl/sharedStrings.xml><?xml version="1.0" encoding="utf-8"?>
<sst xmlns="http://schemas.openxmlformats.org/spreadsheetml/2006/main" count="314" uniqueCount="182">
  <si>
    <t>TOTAL</t>
  </si>
  <si>
    <t>PREPARED BY</t>
  </si>
  <si>
    <t>APPEARED BY</t>
  </si>
  <si>
    <t>CHECKED BY</t>
  </si>
  <si>
    <t>SR NO.</t>
  </si>
  <si>
    <t>PO NO.</t>
  </si>
  <si>
    <t>REF NO.</t>
  </si>
  <si>
    <t>BAG SIZE</t>
  </si>
  <si>
    <t>ORDER QTY</t>
  </si>
  <si>
    <t xml:space="preserve">PALLET PCS </t>
  </si>
  <si>
    <t>NO. OF PALLET</t>
  </si>
  <si>
    <t>REQ. WT</t>
  </si>
  <si>
    <t>ACT. WT</t>
  </si>
  <si>
    <t>PALLET WT</t>
  </si>
  <si>
    <t>TOTAL WT</t>
  </si>
  <si>
    <t>REMARK</t>
  </si>
  <si>
    <t>PO NO</t>
  </si>
  <si>
    <t>PALLET PCS</t>
  </si>
  <si>
    <t>REQ.WT</t>
  </si>
  <si>
    <t>ACT.WT</t>
  </si>
  <si>
    <t>SR NO</t>
  </si>
  <si>
    <t>NO OF PALLET</t>
  </si>
  <si>
    <t>REF NO</t>
  </si>
  <si>
    <t>APROVED BY</t>
  </si>
  <si>
    <t>KUKU PO-A-461 COMPOSITION</t>
  </si>
  <si>
    <t>A 461</t>
  </si>
  <si>
    <t xml:space="preserve">A 461 </t>
  </si>
  <si>
    <t>A461</t>
  </si>
  <si>
    <t>J080</t>
  </si>
  <si>
    <t>J150</t>
  </si>
  <si>
    <t>J272</t>
  </si>
  <si>
    <t>J290</t>
  </si>
  <si>
    <t>J025</t>
  </si>
  <si>
    <t>J230</t>
  </si>
  <si>
    <t>J231</t>
  </si>
  <si>
    <t>65X65X140</t>
  </si>
  <si>
    <t>86X86X176</t>
  </si>
  <si>
    <t>95X95X216</t>
  </si>
  <si>
    <t>106X106X106</t>
  </si>
  <si>
    <t>86X86X136</t>
  </si>
  <si>
    <t>52X98X125</t>
  </si>
  <si>
    <t>55X110X130</t>
  </si>
  <si>
    <t>123 BIG BAGS  PO NO-3102000 COMPOSITION</t>
  </si>
  <si>
    <t xml:space="preserve">SR NO </t>
  </si>
  <si>
    <t>000-23U-5</t>
  </si>
  <si>
    <t>000-23U--10</t>
  </si>
  <si>
    <t>000-27P</t>
  </si>
  <si>
    <t>000-32P</t>
  </si>
  <si>
    <t>000-42P</t>
  </si>
  <si>
    <t>000-48P</t>
  </si>
  <si>
    <t>000-51U</t>
  </si>
  <si>
    <t>000-52U-5</t>
  </si>
  <si>
    <t>000-52U-10</t>
  </si>
  <si>
    <t>000-70U</t>
  </si>
  <si>
    <t>250X150X30</t>
  </si>
  <si>
    <t>310X110X30</t>
  </si>
  <si>
    <t>320X125X30</t>
  </si>
  <si>
    <t>100X100X140</t>
  </si>
  <si>
    <t>355X170X115</t>
  </si>
  <si>
    <t>87X87X110</t>
  </si>
  <si>
    <t>90X90X110</t>
  </si>
  <si>
    <t>PO-3102000</t>
  </si>
  <si>
    <t>PO-3102001</t>
  </si>
  <si>
    <t>PO-3102002</t>
  </si>
  <si>
    <t>PO-3102003</t>
  </si>
  <si>
    <t>PO-3102004</t>
  </si>
  <si>
    <t>PO-3102005</t>
  </si>
  <si>
    <t>PO-3102006</t>
  </si>
  <si>
    <t>PO-3102007</t>
  </si>
  <si>
    <t>PO-3102008</t>
  </si>
  <si>
    <t>PO-3102009</t>
  </si>
  <si>
    <t>PO-3102010</t>
  </si>
  <si>
    <t>PO-3102011</t>
  </si>
  <si>
    <t>PO-3102012</t>
  </si>
  <si>
    <t>PO-3102013</t>
  </si>
  <si>
    <t>100X100X90</t>
  </si>
  <si>
    <t>245X125X80</t>
  </si>
  <si>
    <t>86X86X85</t>
  </si>
  <si>
    <t>SAFESACK CONT NO-270 COMPOSITION</t>
  </si>
  <si>
    <t>PO21794DS</t>
  </si>
  <si>
    <t>PO22096DS</t>
  </si>
  <si>
    <t>PO22160DS</t>
  </si>
  <si>
    <t>PO22162PN</t>
  </si>
  <si>
    <t>PO22200DS</t>
  </si>
  <si>
    <t>PO22207MB</t>
  </si>
  <si>
    <t>PO22211DS</t>
  </si>
  <si>
    <t>PO22223DS</t>
  </si>
  <si>
    <t>PO22226DS</t>
  </si>
  <si>
    <t>PO22231MB</t>
  </si>
  <si>
    <t>PO22253PN</t>
  </si>
  <si>
    <t>85X85X100</t>
  </si>
  <si>
    <t>98X198X90</t>
  </si>
  <si>
    <t>250X150X40</t>
  </si>
  <si>
    <t>90X90X80</t>
  </si>
  <si>
    <t>45X45X80</t>
  </si>
  <si>
    <t>87X87X100</t>
  </si>
  <si>
    <t>75X75X105</t>
  </si>
  <si>
    <t>87X87X130</t>
  </si>
  <si>
    <t>23X23X31</t>
  </si>
  <si>
    <t>87X195X95</t>
  </si>
  <si>
    <t>150X220X180</t>
  </si>
  <si>
    <t>SMART PACK CONT NO-05 COMPOSITION</t>
  </si>
  <si>
    <t>BB1041</t>
  </si>
  <si>
    <t>CBB2050</t>
  </si>
  <si>
    <t>CBB2051</t>
  </si>
  <si>
    <t>CBB2052</t>
  </si>
  <si>
    <t>95X95X160</t>
  </si>
  <si>
    <t>90X90X120</t>
  </si>
  <si>
    <t xml:space="preserve">NO OF PALLET </t>
  </si>
  <si>
    <t>REMARAK</t>
  </si>
  <si>
    <t>S/25036</t>
  </si>
  <si>
    <t>00.BBN.8</t>
  </si>
  <si>
    <t>90X90X130</t>
  </si>
  <si>
    <t>S/25037</t>
  </si>
  <si>
    <t>PSO.NA5085S</t>
  </si>
  <si>
    <t>50X85</t>
  </si>
  <si>
    <t>PSO.NA5575S</t>
  </si>
  <si>
    <t>S/25038</t>
  </si>
  <si>
    <t>55X75</t>
  </si>
  <si>
    <t>S/25039</t>
  </si>
  <si>
    <t>PSO.WI5590CO</t>
  </si>
  <si>
    <t>55X90</t>
  </si>
  <si>
    <t>S/25040</t>
  </si>
  <si>
    <t>PSO.WI71110S</t>
  </si>
  <si>
    <t>71X110</t>
  </si>
  <si>
    <t>S/25049</t>
  </si>
  <si>
    <t>00.BBN.16</t>
  </si>
  <si>
    <t>625X625X190</t>
  </si>
  <si>
    <t>S/25052</t>
  </si>
  <si>
    <t>00.BBN.18</t>
  </si>
  <si>
    <t>90X90X180</t>
  </si>
  <si>
    <t>S/25054</t>
  </si>
  <si>
    <t>05.PPN.016585.01</t>
  </si>
  <si>
    <t>39/40X65</t>
  </si>
  <si>
    <t>S/25053</t>
  </si>
  <si>
    <t>00.PSO.WI5079S</t>
  </si>
  <si>
    <t>50X79</t>
  </si>
  <si>
    <t>S/25041</t>
  </si>
  <si>
    <t>02.BBN.000687.02</t>
  </si>
  <si>
    <t>S/25063</t>
  </si>
  <si>
    <t>03.BBN.003592.02</t>
  </si>
  <si>
    <t>S/25057</t>
  </si>
  <si>
    <t>00.PSO.WI60109S</t>
  </si>
  <si>
    <t>60X109</t>
  </si>
  <si>
    <t>ROVA PSI/25005 COMPOSITION</t>
  </si>
  <si>
    <t>SACKE HINRICHS CONT NO -373</t>
  </si>
  <si>
    <t>EB2553302</t>
  </si>
  <si>
    <t>88X88X65</t>
  </si>
  <si>
    <t>EB2553196</t>
  </si>
  <si>
    <t>140X220</t>
  </si>
  <si>
    <t>EB2553197</t>
  </si>
  <si>
    <t>EB2553177</t>
  </si>
  <si>
    <t>EB2553174</t>
  </si>
  <si>
    <t>EB2553153</t>
  </si>
  <si>
    <t>76X96X165</t>
  </si>
  <si>
    <t>EB2553149</t>
  </si>
  <si>
    <t>80X100X160</t>
  </si>
  <si>
    <t>PREPARED BY APEKSHA</t>
  </si>
  <si>
    <t>YUBI CONT NO-15 COMPOSITION</t>
  </si>
  <si>
    <t>BE-04200/241125</t>
  </si>
  <si>
    <t>1559</t>
  </si>
  <si>
    <t>80X80X50</t>
  </si>
  <si>
    <t>1835-1</t>
  </si>
  <si>
    <t>80X80X100</t>
  </si>
  <si>
    <t>1560</t>
  </si>
  <si>
    <t>1144</t>
  </si>
  <si>
    <t>1143</t>
  </si>
  <si>
    <t xml:space="preserve"> </t>
  </si>
  <si>
    <t>PREPARED BY  AMIT</t>
  </si>
  <si>
    <t>ARPA - 2026-1101-S115</t>
  </si>
  <si>
    <t>2026-1101-S115</t>
  </si>
  <si>
    <t>ARPA 115</t>
  </si>
  <si>
    <t>110X110X115</t>
  </si>
  <si>
    <t>VAINAS</t>
  </si>
  <si>
    <t>85X85X85</t>
  </si>
  <si>
    <t>ZARPA  1</t>
  </si>
  <si>
    <t>90X90X60</t>
  </si>
  <si>
    <t>ZARPA 2</t>
  </si>
  <si>
    <t>90X90X90</t>
  </si>
  <si>
    <t>HELCON</t>
  </si>
  <si>
    <t>HL</t>
  </si>
  <si>
    <t>95X95X180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</si>
</sst>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48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0" fillId="0" borderId="0" xfId="0" applyNumberForma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1" fontId="10" fillId="0" borderId="1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0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20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/>
    <xf numFmtId="0" fontId="5" fillId="0" borderId="6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0" fontId="11" fillId="0" borderId="31" xfId="0" applyFont="1" applyBorder="1"/>
    <xf numFmtId="0" fontId="4" fillId="0" borderId="32" xfId="0" applyFont="1" applyBorder="1" applyAlignment="1">
      <alignment horizontal="center" vertical="center"/>
    </xf>
    <xf numFmtId="0" fontId="11" fillId="0" borderId="32" xfId="0" applyFont="1" applyBorder="1"/>
    <xf numFmtId="1" fontId="4" fillId="0" borderId="32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4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zoomScale="85" zoomScaleNormal="85" workbookViewId="0">
      <selection activeCell="K4" sqref="K4:K8"/>
    </sheetView>
  </sheetViews>
  <sheetFormatPr defaultRowHeight="15" x14ac:dyDescent="0.25"/>
  <cols>
    <col min="1" max="1" width="10.7109375" customWidth="1"/>
    <col min="2" max="2" width="24.7109375" customWidth="1"/>
    <col min="3" max="3" width="21.42578125" customWidth="1"/>
    <col min="4" max="4" width="24" customWidth="1"/>
    <col min="5" max="5" width="16.7109375" customWidth="1"/>
    <col min="6" max="6" width="22.28515625" customWidth="1"/>
    <col min="7" max="7" width="23.28515625" customWidth="1"/>
    <col min="8" max="8" width="20.7109375" customWidth="1"/>
    <col min="9" max="9" width="19.28515625" customWidth="1"/>
    <col min="10" max="10" width="20.7109375" customWidth="1"/>
    <col min="11" max="11" width="20" customWidth="1"/>
    <col min="12" max="12" width="35.7109375" customWidth="1"/>
  </cols>
  <sheetData>
    <row r="1" spans="1:12" ht="54.6" customHeight="1" thickBot="1" x14ac:dyDescent="0.3"/>
    <row r="2" spans="1:12" ht="71.45" customHeight="1" x14ac:dyDescent="0.25">
      <c r="A2" s="75" t="s">
        <v>169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12" s="49" customFormat="1" ht="30.75" customHeight="1" x14ac:dyDescent="0.25">
      <c r="A3" s="62" t="s">
        <v>4</v>
      </c>
      <c r="B3" s="46" t="s">
        <v>5</v>
      </c>
      <c r="C3" s="46" t="s">
        <v>6</v>
      </c>
      <c r="D3" s="46" t="s">
        <v>7</v>
      </c>
      <c r="E3" s="46" t="s">
        <v>8</v>
      </c>
      <c r="F3" s="46" t="s">
        <v>9</v>
      </c>
      <c r="G3" s="46" t="s">
        <v>10</v>
      </c>
      <c r="H3" s="46" t="s">
        <v>11</v>
      </c>
      <c r="I3" s="46" t="s">
        <v>12</v>
      </c>
      <c r="J3" s="46" t="s">
        <v>13</v>
      </c>
      <c r="K3" s="46" t="s">
        <v>14</v>
      </c>
      <c r="L3" s="63" t="s">
        <v>15</v>
      </c>
    </row>
    <row r="4" spans="1:12" ht="30.75" customHeight="1" x14ac:dyDescent="0.25">
      <c r="A4" s="64">
        <v>1</v>
      </c>
      <c r="B4" s="23" t="s">
        <v>170</v>
      </c>
      <c r="C4" s="65" t="s">
        <v>171</v>
      </c>
      <c r="D4" s="65" t="s">
        <v>172</v>
      </c>
      <c r="E4" s="23">
        <v>3705</v>
      </c>
      <c r="F4" s="23">
        <v>195</v>
      </c>
      <c r="G4" s="25">
        <f>E4/F4</f>
        <v>19</v>
      </c>
      <c r="H4" s="23">
        <v>2.1800000000000002</v>
      </c>
      <c r="I4" s="23">
        <v>2.1150000000000002</v>
      </c>
      <c r="J4" s="25">
        <f>H4*F4</f>
        <v>425.1</v>
      </c>
      <c r="K4" s="25">
        <f>J4*G4</f>
        <v>8076.9000000000005</v>
      </c>
      <c r="L4" s="66"/>
    </row>
    <row r="5" spans="1:12" ht="30.75" customHeight="1" x14ac:dyDescent="0.25">
      <c r="A5" s="64">
        <v>2</v>
      </c>
      <c r="B5" s="23" t="s">
        <v>170</v>
      </c>
      <c r="C5" s="65" t="s">
        <v>173</v>
      </c>
      <c r="D5" s="65" t="s">
        <v>174</v>
      </c>
      <c r="E5" s="23">
        <v>500</v>
      </c>
      <c r="F5" s="25">
        <v>500</v>
      </c>
      <c r="G5" s="25">
        <f t="shared" ref="G5:G9" si="0">E5/F5</f>
        <v>1</v>
      </c>
      <c r="H5" s="23">
        <v>0.9</v>
      </c>
      <c r="I5" s="23">
        <v>0.88</v>
      </c>
      <c r="J5" s="25">
        <f t="shared" ref="J5:J9" si="1">H5*F5</f>
        <v>450</v>
      </c>
      <c r="K5" s="25">
        <f t="shared" ref="K5:K9" si="2">J5*G5</f>
        <v>450</v>
      </c>
      <c r="L5" s="66"/>
    </row>
    <row r="6" spans="1:12" ht="30.75" customHeight="1" x14ac:dyDescent="0.25">
      <c r="A6" s="64">
        <v>3</v>
      </c>
      <c r="B6" s="23" t="s">
        <v>170</v>
      </c>
      <c r="C6" s="65" t="s">
        <v>175</v>
      </c>
      <c r="D6" s="65" t="s">
        <v>176</v>
      </c>
      <c r="E6" s="23">
        <v>520</v>
      </c>
      <c r="F6" s="25">
        <v>520</v>
      </c>
      <c r="G6" s="25">
        <f t="shared" si="0"/>
        <v>1</v>
      </c>
      <c r="H6" s="23">
        <v>0.83</v>
      </c>
      <c r="I6" s="23">
        <v>0.755</v>
      </c>
      <c r="J6" s="25">
        <f t="shared" si="1"/>
        <v>431.59999999999997</v>
      </c>
      <c r="K6" s="25">
        <f t="shared" si="2"/>
        <v>431.59999999999997</v>
      </c>
      <c r="L6" s="66"/>
    </row>
    <row r="7" spans="1:12" ht="30.75" customHeight="1" x14ac:dyDescent="0.25">
      <c r="A7" s="64">
        <v>4</v>
      </c>
      <c r="B7" s="23" t="s">
        <v>170</v>
      </c>
      <c r="C7" s="65" t="s">
        <v>177</v>
      </c>
      <c r="D7" s="65" t="s">
        <v>178</v>
      </c>
      <c r="E7" s="23">
        <v>445</v>
      </c>
      <c r="F7" s="25">
        <v>445</v>
      </c>
      <c r="G7" s="25">
        <f t="shared" si="0"/>
        <v>1</v>
      </c>
      <c r="H7" s="23">
        <v>0.97</v>
      </c>
      <c r="I7" s="23">
        <v>0.93</v>
      </c>
      <c r="J7" s="25">
        <f t="shared" si="1"/>
        <v>431.65</v>
      </c>
      <c r="K7" s="25">
        <f t="shared" si="2"/>
        <v>431.65</v>
      </c>
      <c r="L7" s="66"/>
    </row>
    <row r="8" spans="1:12" ht="30.75" customHeight="1" x14ac:dyDescent="0.25">
      <c r="A8" s="64">
        <v>5</v>
      </c>
      <c r="B8" s="23" t="s">
        <v>170</v>
      </c>
      <c r="C8" s="65" t="s">
        <v>179</v>
      </c>
      <c r="D8" s="65" t="s">
        <v>178</v>
      </c>
      <c r="E8" s="23">
        <v>1800</v>
      </c>
      <c r="F8" s="25">
        <v>445</v>
      </c>
      <c r="G8" s="25">
        <f t="shared" si="0"/>
        <v>4.0449438202247192</v>
      </c>
      <c r="H8" s="23">
        <v>0.97</v>
      </c>
      <c r="I8" s="23">
        <v>0.93</v>
      </c>
      <c r="J8" s="25">
        <f t="shared" si="1"/>
        <v>431.65</v>
      </c>
      <c r="K8" s="25">
        <f t="shared" si="2"/>
        <v>1746</v>
      </c>
      <c r="L8" s="66"/>
    </row>
    <row r="9" spans="1:12" ht="30.75" customHeight="1" thickBot="1" x14ac:dyDescent="0.3">
      <c r="A9" s="64">
        <v>6</v>
      </c>
      <c r="B9" s="23" t="s">
        <v>170</v>
      </c>
      <c r="C9" s="65" t="s">
        <v>180</v>
      </c>
      <c r="D9" s="65" t="s">
        <v>181</v>
      </c>
      <c r="E9" s="23">
        <v>5390</v>
      </c>
      <c r="F9" s="25">
        <v>245</v>
      </c>
      <c r="G9" s="25">
        <f t="shared" si="0"/>
        <v>22</v>
      </c>
      <c r="H9" s="23">
        <v>1.7649999999999999</v>
      </c>
      <c r="I9" s="23">
        <v>1.73</v>
      </c>
      <c r="J9" s="25">
        <f t="shared" si="1"/>
        <v>432.42499999999995</v>
      </c>
      <c r="K9" s="25">
        <f t="shared" si="2"/>
        <v>9513.3499999999985</v>
      </c>
      <c r="L9" s="66"/>
    </row>
    <row r="10" spans="1:12" ht="30.75" customHeight="1" thickBot="1" x14ac:dyDescent="0.3">
      <c r="A10" s="88" t="s">
        <v>0</v>
      </c>
      <c r="B10" s="89"/>
      <c r="C10" s="89"/>
      <c r="D10" s="89"/>
      <c r="E10" s="71">
        <f>SUM(E4:E9)</f>
        <v>12360</v>
      </c>
      <c r="F10" s="71"/>
      <c r="G10" s="71">
        <f>SUM(G4:G9)</f>
        <v>48.044943820224717</v>
      </c>
      <c r="H10" s="72"/>
      <c r="I10" s="72"/>
      <c r="J10" s="73"/>
      <c r="K10" s="71">
        <f>SUM(K4:K9)</f>
        <v>20649.5</v>
      </c>
      <c r="L10" s="74"/>
    </row>
    <row r="11" spans="1:12" s="49" customFormat="1" ht="30.75" customHeight="1" thickBot="1" x14ac:dyDescent="0.3">
      <c r="A11" s="67"/>
      <c r="B11" s="68" t="s">
        <v>168</v>
      </c>
      <c r="C11" s="68"/>
      <c r="D11" s="68" t="s">
        <v>3</v>
      </c>
      <c r="E11" s="68"/>
      <c r="F11" s="68"/>
      <c r="G11" s="69"/>
      <c r="H11" s="69"/>
      <c r="I11" s="69"/>
      <c r="J11" s="70"/>
      <c r="K11" s="90" t="s">
        <v>167</v>
      </c>
      <c r="L11" s="91"/>
    </row>
    <row r="44" spans="1:12" ht="36" customHeight="1" x14ac:dyDescent="0.25">
      <c r="A44" s="78" t="s">
        <v>0</v>
      </c>
      <c r="B44" s="79"/>
      <c r="C44" s="79"/>
      <c r="D44" s="80"/>
      <c r="E44" s="51">
        <f>SUM(E41:E43)</f>
        <v>0</v>
      </c>
      <c r="F44" s="51"/>
      <c r="G44" s="51">
        <f>SUM(G41:G43)</f>
        <v>0</v>
      </c>
      <c r="H44" s="59"/>
      <c r="I44" s="59"/>
      <c r="J44" s="19"/>
      <c r="K44" s="51">
        <f>SUM(K41:K43)</f>
        <v>0</v>
      </c>
      <c r="L44" s="61"/>
    </row>
    <row r="45" spans="1:12" ht="19.5" thickBot="1" x14ac:dyDescent="0.3">
      <c r="A45" s="57"/>
      <c r="B45" s="81" t="s">
        <v>157</v>
      </c>
      <c r="C45" s="82"/>
      <c r="D45" s="83" t="s">
        <v>3</v>
      </c>
      <c r="E45" s="84"/>
      <c r="F45" s="85"/>
      <c r="G45" s="3"/>
      <c r="H45" s="3"/>
      <c r="I45" s="3"/>
      <c r="J45" s="60"/>
      <c r="K45" s="86" t="s">
        <v>23</v>
      </c>
      <c r="L45" s="87"/>
    </row>
  </sheetData>
  <mergeCells count="7">
    <mergeCell ref="A2:L2"/>
    <mergeCell ref="A44:D44"/>
    <mergeCell ref="B45:C45"/>
    <mergeCell ref="D45:F45"/>
    <mergeCell ref="K45:L45"/>
    <mergeCell ref="A10:D10"/>
    <mergeCell ref="K11:L11"/>
  </mergeCells>
  <printOptions horizontalCentered="1" verticalCentered="1"/>
  <pageMargins left="0.75" right="0.75" top="0" bottom="0" header="0.31496062992126" footer="0.31496062992126"/>
  <pageSetup paperSize="9" scale="51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8"/>
  <sheetViews>
    <sheetView workbookViewId="0">
      <selection activeCell="B21" sqref="B21"/>
    </sheetView>
  </sheetViews>
  <sheetFormatPr defaultRowHeight="15" x14ac:dyDescent="0.25"/>
  <cols>
    <col min="1" max="1" width="7.140625" customWidth="1"/>
    <col min="2" max="2" width="11.7109375" customWidth="1"/>
    <col min="3" max="3" width="14.42578125" customWidth="1"/>
    <col min="4" max="4" width="12.85546875" customWidth="1"/>
    <col min="5" max="6" width="12.28515625" customWidth="1"/>
    <col min="7" max="7" width="13.5703125" customWidth="1"/>
    <col min="8" max="8" width="11.5703125" customWidth="1"/>
    <col min="9" max="9" width="11.7109375" customWidth="1"/>
    <col min="10" max="10" width="12.140625" customWidth="1"/>
    <col min="11" max="11" width="13.140625" customWidth="1"/>
    <col min="12" max="12" width="11.85546875" customWidth="1"/>
  </cols>
  <sheetData>
    <row r="1" spans="1:12" ht="36" customHeight="1" x14ac:dyDescent="0.25">
      <c r="A1" s="92" t="s">
        <v>42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26.45" customHeight="1" x14ac:dyDescent="0.25">
      <c r="A2" s="4" t="s">
        <v>43</v>
      </c>
      <c r="B2" s="4" t="s">
        <v>16</v>
      </c>
      <c r="C2" s="4" t="s">
        <v>22</v>
      </c>
      <c r="D2" s="4" t="s">
        <v>7</v>
      </c>
      <c r="E2" s="4" t="s">
        <v>8</v>
      </c>
      <c r="F2" s="4" t="s">
        <v>17</v>
      </c>
      <c r="G2" s="4" t="s">
        <v>21</v>
      </c>
      <c r="H2" s="4" t="s">
        <v>18</v>
      </c>
      <c r="I2" s="4" t="s">
        <v>19</v>
      </c>
      <c r="J2" s="4" t="s">
        <v>13</v>
      </c>
      <c r="K2" s="4" t="s">
        <v>0</v>
      </c>
      <c r="L2" s="4" t="s">
        <v>15</v>
      </c>
    </row>
    <row r="3" spans="1:12" ht="29.45" customHeight="1" x14ac:dyDescent="0.25">
      <c r="A3" s="4">
        <v>1</v>
      </c>
      <c r="B3" s="4" t="s">
        <v>61</v>
      </c>
      <c r="C3" s="4" t="s">
        <v>44</v>
      </c>
      <c r="D3" s="4" t="s">
        <v>60</v>
      </c>
      <c r="E3" s="4">
        <v>1200</v>
      </c>
      <c r="F3" s="4">
        <v>280</v>
      </c>
      <c r="G3" s="5">
        <f>E3/F3</f>
        <v>4.2857142857142856</v>
      </c>
      <c r="H3" s="4">
        <v>1.2649999999999999</v>
      </c>
      <c r="I3" s="4">
        <v>1.21</v>
      </c>
      <c r="J3" s="5">
        <f>F3*H3</f>
        <v>354.2</v>
      </c>
      <c r="K3" s="5">
        <f>E3*H3</f>
        <v>1517.9999999999998</v>
      </c>
      <c r="L3" s="4"/>
    </row>
    <row r="4" spans="1:12" ht="29.45" customHeight="1" x14ac:dyDescent="0.25">
      <c r="A4" s="4">
        <v>2</v>
      </c>
      <c r="B4" s="4" t="s">
        <v>62</v>
      </c>
      <c r="C4" s="4" t="s">
        <v>45</v>
      </c>
      <c r="D4" s="4" t="s">
        <v>60</v>
      </c>
      <c r="E4" s="4">
        <v>1800</v>
      </c>
      <c r="F4" s="4">
        <v>300</v>
      </c>
      <c r="G4" s="5">
        <f>E4/F4</f>
        <v>6</v>
      </c>
      <c r="H4" s="4">
        <v>1.2649999999999999</v>
      </c>
      <c r="I4" s="4">
        <v>1.21</v>
      </c>
      <c r="J4" s="5">
        <f t="shared" ref="J4:J16" si="0">F4*H4</f>
        <v>379.49999999999994</v>
      </c>
      <c r="K4" s="5">
        <f t="shared" ref="K4:K16" si="1">E4*H4</f>
        <v>2277</v>
      </c>
      <c r="L4" s="4"/>
    </row>
    <row r="5" spans="1:12" ht="29.45" customHeight="1" x14ac:dyDescent="0.25">
      <c r="A5" s="4">
        <v>3</v>
      </c>
      <c r="B5" s="4" t="s">
        <v>63</v>
      </c>
      <c r="C5" s="4" t="s">
        <v>46</v>
      </c>
      <c r="D5" s="4" t="s">
        <v>54</v>
      </c>
      <c r="E5" s="4">
        <v>720</v>
      </c>
      <c r="F5" s="4">
        <v>120</v>
      </c>
      <c r="G5" s="5">
        <f t="shared" ref="G5:G16" si="2">E5/F5</f>
        <v>6</v>
      </c>
      <c r="H5" s="4">
        <v>4.03</v>
      </c>
      <c r="I5" s="4">
        <v>3.6949999999999998</v>
      </c>
      <c r="J5" s="5">
        <f t="shared" si="0"/>
        <v>483.6</v>
      </c>
      <c r="K5" s="5">
        <f t="shared" si="1"/>
        <v>2901.6000000000004</v>
      </c>
      <c r="L5" s="4"/>
    </row>
    <row r="6" spans="1:12" ht="29.45" customHeight="1" x14ac:dyDescent="0.25">
      <c r="A6" s="4">
        <v>4</v>
      </c>
      <c r="B6" s="4" t="s">
        <v>64</v>
      </c>
      <c r="C6" s="4" t="s">
        <v>47</v>
      </c>
      <c r="D6" s="4" t="s">
        <v>56</v>
      </c>
      <c r="E6" s="4">
        <v>750</v>
      </c>
      <c r="F6" s="4">
        <v>125</v>
      </c>
      <c r="G6" s="5">
        <f t="shared" si="2"/>
        <v>6</v>
      </c>
      <c r="H6" s="4">
        <v>3.53</v>
      </c>
      <c r="I6" s="4">
        <v>3.4849999999999999</v>
      </c>
      <c r="J6" s="5">
        <f t="shared" si="0"/>
        <v>441.25</v>
      </c>
      <c r="K6" s="5">
        <f t="shared" si="1"/>
        <v>2647.5</v>
      </c>
      <c r="L6" s="4"/>
    </row>
    <row r="7" spans="1:12" ht="29.45" customHeight="1" x14ac:dyDescent="0.25">
      <c r="A7" s="4">
        <v>5</v>
      </c>
      <c r="B7" s="4" t="s">
        <v>65</v>
      </c>
      <c r="C7" s="4" t="s">
        <v>48</v>
      </c>
      <c r="D7" s="4" t="s">
        <v>55</v>
      </c>
      <c r="E7" s="4">
        <v>540</v>
      </c>
      <c r="F7" s="4">
        <v>90</v>
      </c>
      <c r="G7" s="5">
        <f t="shared" si="2"/>
        <v>6</v>
      </c>
      <c r="H7" s="4">
        <v>3.9660000000000002</v>
      </c>
      <c r="I7" s="4">
        <v>3.605</v>
      </c>
      <c r="J7" s="5">
        <f t="shared" si="0"/>
        <v>356.94</v>
      </c>
      <c r="K7" s="5">
        <f t="shared" si="1"/>
        <v>2141.6400000000003</v>
      </c>
      <c r="L7" s="4"/>
    </row>
    <row r="8" spans="1:12" ht="29.45" customHeight="1" x14ac:dyDescent="0.25">
      <c r="A8" s="4">
        <v>6</v>
      </c>
      <c r="B8" s="4" t="s">
        <v>66</v>
      </c>
      <c r="C8" s="4" t="s">
        <v>49</v>
      </c>
      <c r="D8" s="4" t="s">
        <v>58</v>
      </c>
      <c r="E8" s="4">
        <v>260</v>
      </c>
      <c r="F8" s="4">
        <v>65</v>
      </c>
      <c r="G8" s="5">
        <f t="shared" si="2"/>
        <v>4</v>
      </c>
      <c r="H8" s="4">
        <v>6.87</v>
      </c>
      <c r="I8" s="4">
        <v>6.03</v>
      </c>
      <c r="J8" s="5">
        <f t="shared" si="0"/>
        <v>446.55</v>
      </c>
      <c r="K8" s="5">
        <f t="shared" si="1"/>
        <v>1786.2</v>
      </c>
      <c r="L8" s="4"/>
    </row>
    <row r="9" spans="1:12" ht="29.45" customHeight="1" x14ac:dyDescent="0.25">
      <c r="A9" s="4">
        <v>7</v>
      </c>
      <c r="B9" s="4" t="s">
        <v>67</v>
      </c>
      <c r="C9" s="4">
        <v>17368</v>
      </c>
      <c r="D9" s="4" t="s">
        <v>59</v>
      </c>
      <c r="E9" s="4">
        <v>240</v>
      </c>
      <c r="F9" s="4">
        <v>240</v>
      </c>
      <c r="G9" s="5">
        <f t="shared" si="2"/>
        <v>1</v>
      </c>
      <c r="H9" s="4">
        <v>1.83</v>
      </c>
      <c r="I9" s="4">
        <v>1.75</v>
      </c>
      <c r="J9" s="5">
        <f t="shared" si="0"/>
        <v>439.20000000000005</v>
      </c>
      <c r="K9" s="5">
        <f t="shared" si="1"/>
        <v>439.20000000000005</v>
      </c>
      <c r="L9" s="4"/>
    </row>
    <row r="10" spans="1:12" ht="29.45" customHeight="1" x14ac:dyDescent="0.25">
      <c r="A10" s="4">
        <v>8</v>
      </c>
      <c r="B10" s="4" t="s">
        <v>68</v>
      </c>
      <c r="C10" s="4">
        <v>17398</v>
      </c>
      <c r="D10" s="4" t="s">
        <v>57</v>
      </c>
      <c r="E10" s="4">
        <v>215</v>
      </c>
      <c r="F10" s="4">
        <v>215</v>
      </c>
      <c r="G10" s="5">
        <f t="shared" si="2"/>
        <v>1</v>
      </c>
      <c r="H10" s="4">
        <v>1.8</v>
      </c>
      <c r="I10" s="4">
        <v>1.7549999999999999</v>
      </c>
      <c r="J10" s="5">
        <f t="shared" si="0"/>
        <v>387</v>
      </c>
      <c r="K10" s="5">
        <f t="shared" si="1"/>
        <v>387</v>
      </c>
      <c r="L10" s="4"/>
    </row>
    <row r="11" spans="1:12" ht="29.45" customHeight="1" x14ac:dyDescent="0.25">
      <c r="A11" s="4">
        <v>9</v>
      </c>
      <c r="B11" s="4" t="s">
        <v>69</v>
      </c>
      <c r="C11" s="4">
        <v>17759</v>
      </c>
      <c r="D11" s="4" t="s">
        <v>75</v>
      </c>
      <c r="E11" s="4">
        <v>300</v>
      </c>
      <c r="F11" s="4">
        <v>300</v>
      </c>
      <c r="G11" s="5">
        <f t="shared" si="2"/>
        <v>1</v>
      </c>
      <c r="H11" s="4">
        <v>1.35</v>
      </c>
      <c r="I11" s="4">
        <v>1.3</v>
      </c>
      <c r="J11" s="5">
        <f t="shared" si="0"/>
        <v>405</v>
      </c>
      <c r="K11" s="5">
        <f t="shared" si="1"/>
        <v>405</v>
      </c>
      <c r="L11" s="4"/>
    </row>
    <row r="12" spans="1:12" ht="29.45" customHeight="1" x14ac:dyDescent="0.25">
      <c r="A12" s="4">
        <v>10</v>
      </c>
      <c r="B12" s="4" t="s">
        <v>70</v>
      </c>
      <c r="C12" s="4" t="s">
        <v>50</v>
      </c>
      <c r="D12" s="4" t="s">
        <v>76</v>
      </c>
      <c r="E12" s="4">
        <v>330</v>
      </c>
      <c r="F12" s="4">
        <v>125</v>
      </c>
      <c r="G12" s="5">
        <f t="shared" si="2"/>
        <v>2.64</v>
      </c>
      <c r="H12" s="4">
        <v>3.85</v>
      </c>
      <c r="I12" s="4">
        <v>3.3</v>
      </c>
      <c r="J12" s="5">
        <f t="shared" si="0"/>
        <v>481.25</v>
      </c>
      <c r="K12" s="5">
        <f t="shared" si="1"/>
        <v>1270.5</v>
      </c>
      <c r="L12" s="4"/>
    </row>
    <row r="13" spans="1:12" ht="29.45" customHeight="1" x14ac:dyDescent="0.25">
      <c r="A13" s="4">
        <v>11</v>
      </c>
      <c r="B13" s="4" t="s">
        <v>71</v>
      </c>
      <c r="C13" s="4" t="s">
        <v>51</v>
      </c>
      <c r="D13" s="4" t="s">
        <v>77</v>
      </c>
      <c r="E13" s="4">
        <v>810</v>
      </c>
      <c r="F13" s="4">
        <v>75</v>
      </c>
      <c r="G13" s="5">
        <v>2</v>
      </c>
      <c r="H13" s="4">
        <v>1.155</v>
      </c>
      <c r="I13" s="4">
        <v>1.0149999999999999</v>
      </c>
      <c r="J13" s="5">
        <f t="shared" si="0"/>
        <v>86.625</v>
      </c>
      <c r="K13" s="5">
        <f t="shared" si="1"/>
        <v>935.55000000000007</v>
      </c>
      <c r="L13" s="4"/>
    </row>
    <row r="14" spans="1:12" ht="29.45" customHeight="1" x14ac:dyDescent="0.25">
      <c r="A14" s="4">
        <v>12</v>
      </c>
      <c r="B14" s="4" t="s">
        <v>72</v>
      </c>
      <c r="C14" s="4" t="s">
        <v>52</v>
      </c>
      <c r="D14" s="4" t="s">
        <v>77</v>
      </c>
      <c r="E14" s="4">
        <v>820</v>
      </c>
      <c r="F14" s="4">
        <v>38</v>
      </c>
      <c r="G14" s="5">
        <v>2</v>
      </c>
      <c r="H14" s="4">
        <v>1.155</v>
      </c>
      <c r="I14" s="4">
        <v>1.0149999999999999</v>
      </c>
      <c r="J14" s="5">
        <f t="shared" si="0"/>
        <v>43.89</v>
      </c>
      <c r="K14" s="5">
        <f t="shared" si="1"/>
        <v>947.1</v>
      </c>
      <c r="L14" s="4"/>
    </row>
    <row r="15" spans="1:12" ht="29.45" customHeight="1" x14ac:dyDescent="0.25">
      <c r="A15" s="4">
        <v>13</v>
      </c>
      <c r="B15" s="4" t="s">
        <v>73</v>
      </c>
      <c r="C15" s="4" t="s">
        <v>53</v>
      </c>
      <c r="D15" s="4" t="s">
        <v>59</v>
      </c>
      <c r="E15" s="4">
        <v>925</v>
      </c>
      <c r="F15" s="4">
        <v>185</v>
      </c>
      <c r="G15" s="5">
        <f t="shared" si="2"/>
        <v>5</v>
      </c>
      <c r="H15" s="4">
        <v>2.34</v>
      </c>
      <c r="I15" s="4">
        <v>2.2850000000000001</v>
      </c>
      <c r="J15" s="5">
        <f t="shared" si="0"/>
        <v>432.9</v>
      </c>
      <c r="K15" s="5">
        <f t="shared" si="1"/>
        <v>2164.5</v>
      </c>
      <c r="L15" s="4"/>
    </row>
    <row r="16" spans="1:12" ht="27.6" customHeight="1" x14ac:dyDescent="0.25">
      <c r="A16" s="4">
        <v>14</v>
      </c>
      <c r="B16" s="4" t="s">
        <v>74</v>
      </c>
      <c r="C16" s="4">
        <v>17600</v>
      </c>
      <c r="D16" s="4" t="s">
        <v>59</v>
      </c>
      <c r="E16" s="4">
        <v>280</v>
      </c>
      <c r="F16" s="4">
        <v>280</v>
      </c>
      <c r="G16" s="5">
        <f t="shared" si="2"/>
        <v>1</v>
      </c>
      <c r="H16" s="4">
        <v>1.58</v>
      </c>
      <c r="I16" s="4">
        <v>1.425</v>
      </c>
      <c r="J16" s="5">
        <f t="shared" si="0"/>
        <v>442.40000000000003</v>
      </c>
      <c r="K16" s="5">
        <f t="shared" si="1"/>
        <v>442.40000000000003</v>
      </c>
      <c r="L16" s="4"/>
    </row>
    <row r="17" spans="1:12" ht="22.15" customHeight="1" x14ac:dyDescent="0.35">
      <c r="A17" s="12"/>
      <c r="B17" s="93" t="s">
        <v>0</v>
      </c>
      <c r="C17" s="93"/>
      <c r="D17" s="15"/>
      <c r="E17" s="15">
        <f>SUM(E3:E16)</f>
        <v>9190</v>
      </c>
      <c r="F17" s="15"/>
      <c r="G17" s="16">
        <f>SUM(G3:G16)</f>
        <v>47.925714285714285</v>
      </c>
      <c r="H17" s="15"/>
      <c r="I17" s="15"/>
      <c r="J17" s="15"/>
      <c r="K17" s="16">
        <f>SUM(K3:K16)</f>
        <v>20263.190000000002</v>
      </c>
      <c r="L17" s="13"/>
    </row>
    <row r="18" spans="1:12" ht="12.6" customHeight="1" x14ac:dyDescent="0.25">
      <c r="A18" s="12"/>
      <c r="B18" s="94" t="s">
        <v>1</v>
      </c>
      <c r="C18" s="94"/>
      <c r="D18" s="12"/>
      <c r="E18" s="94" t="s">
        <v>3</v>
      </c>
      <c r="F18" s="95"/>
      <c r="G18" s="12"/>
      <c r="H18" s="12"/>
      <c r="I18" s="12"/>
      <c r="J18" s="12"/>
      <c r="K18" s="94" t="s">
        <v>23</v>
      </c>
      <c r="L18" s="96"/>
    </row>
  </sheetData>
  <mergeCells count="5">
    <mergeCell ref="A1:L1"/>
    <mergeCell ref="B17:C17"/>
    <mergeCell ref="B18:C18"/>
    <mergeCell ref="E18:F18"/>
    <mergeCell ref="K18:L18"/>
  </mergeCells>
  <pageMargins left="0.7" right="0.7" top="0.75" bottom="0.75" header="0.3" footer="0.3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"/>
  <sheetViews>
    <sheetView workbookViewId="0">
      <selection sqref="A1:L11"/>
    </sheetView>
  </sheetViews>
  <sheetFormatPr defaultRowHeight="15" x14ac:dyDescent="0.25"/>
  <cols>
    <col min="1" max="1" width="6.7109375" customWidth="1"/>
    <col min="3" max="3" width="18.7109375" customWidth="1"/>
    <col min="4" max="4" width="17" customWidth="1"/>
    <col min="5" max="5" width="13.5703125" customWidth="1"/>
    <col min="6" max="6" width="13.7109375" customWidth="1"/>
    <col min="7" max="7" width="13.140625" customWidth="1"/>
    <col min="8" max="8" width="12.7109375" customWidth="1"/>
    <col min="10" max="10" width="14.28515625" customWidth="1"/>
    <col min="11" max="11" width="13.85546875" customWidth="1"/>
    <col min="12" max="12" width="10.28515625" customWidth="1"/>
  </cols>
  <sheetData>
    <row r="1" spans="1:12" ht="43.9" customHeight="1" thickBot="1" x14ac:dyDescent="0.3">
      <c r="A1" s="97" t="s">
        <v>24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</row>
    <row r="2" spans="1:12" ht="27.6" customHeight="1" x14ac:dyDescent="0.25">
      <c r="A2" s="9" t="s">
        <v>20</v>
      </c>
      <c r="B2" s="9" t="s">
        <v>16</v>
      </c>
      <c r="C2" s="9" t="s">
        <v>22</v>
      </c>
      <c r="D2" s="9" t="s">
        <v>7</v>
      </c>
      <c r="E2" s="9" t="s">
        <v>8</v>
      </c>
      <c r="F2" s="9" t="s">
        <v>17</v>
      </c>
      <c r="G2" s="9" t="s">
        <v>21</v>
      </c>
      <c r="H2" s="9" t="s">
        <v>18</v>
      </c>
      <c r="I2" s="9" t="s">
        <v>19</v>
      </c>
      <c r="J2" s="9" t="s">
        <v>13</v>
      </c>
      <c r="K2" s="9" t="s">
        <v>0</v>
      </c>
      <c r="L2" s="9" t="s">
        <v>15</v>
      </c>
    </row>
    <row r="3" spans="1:12" ht="29.45" customHeight="1" x14ac:dyDescent="0.25">
      <c r="A3" s="4">
        <v>1</v>
      </c>
      <c r="B3" s="4" t="s">
        <v>25</v>
      </c>
      <c r="C3" s="4" t="s">
        <v>28</v>
      </c>
      <c r="D3" s="4" t="s">
        <v>35</v>
      </c>
      <c r="E3" s="4">
        <v>1155</v>
      </c>
      <c r="F3" s="4">
        <v>385</v>
      </c>
      <c r="G3" s="4">
        <f>E3/F3</f>
        <v>3</v>
      </c>
      <c r="H3" s="4">
        <v>1.115</v>
      </c>
      <c r="I3" s="4">
        <v>1.08</v>
      </c>
      <c r="J3" s="5">
        <f>F3*H3</f>
        <v>429.27499999999998</v>
      </c>
      <c r="K3" s="5">
        <f t="shared" ref="K3:K9" si="0">E3*H3</f>
        <v>1287.825</v>
      </c>
      <c r="L3" s="4"/>
    </row>
    <row r="4" spans="1:12" ht="29.45" customHeight="1" x14ac:dyDescent="0.25">
      <c r="A4" s="4">
        <v>2</v>
      </c>
      <c r="B4" s="4" t="s">
        <v>25</v>
      </c>
      <c r="C4" s="4" t="s">
        <v>29</v>
      </c>
      <c r="D4" s="4" t="s">
        <v>36</v>
      </c>
      <c r="E4" s="4">
        <v>2250</v>
      </c>
      <c r="F4" s="4">
        <v>225</v>
      </c>
      <c r="G4" s="4">
        <f t="shared" ref="G4:G9" si="1">E4/F4</f>
        <v>10</v>
      </c>
      <c r="H4" s="4">
        <v>1.895</v>
      </c>
      <c r="I4" s="4">
        <v>1.85</v>
      </c>
      <c r="J4" s="5">
        <f t="shared" ref="J4:J7" si="2">F4*H4</f>
        <v>426.375</v>
      </c>
      <c r="K4" s="5">
        <f t="shared" si="0"/>
        <v>4263.75</v>
      </c>
      <c r="L4" s="4"/>
    </row>
    <row r="5" spans="1:12" ht="29.45" customHeight="1" x14ac:dyDescent="0.25">
      <c r="A5" s="4">
        <v>3</v>
      </c>
      <c r="B5" s="4" t="s">
        <v>26</v>
      </c>
      <c r="C5" s="4" t="s">
        <v>30</v>
      </c>
      <c r="D5" s="4" t="s">
        <v>37</v>
      </c>
      <c r="E5" s="4">
        <v>570</v>
      </c>
      <c r="F5" s="4">
        <v>190</v>
      </c>
      <c r="G5" s="4">
        <f t="shared" si="1"/>
        <v>3</v>
      </c>
      <c r="H5" s="4">
        <v>2.2200000000000002</v>
      </c>
      <c r="I5" s="4">
        <v>2.15</v>
      </c>
      <c r="J5" s="5">
        <f t="shared" si="2"/>
        <v>421.8</v>
      </c>
      <c r="K5" s="5">
        <f t="shared" si="0"/>
        <v>1265.4000000000001</v>
      </c>
      <c r="L5" s="4"/>
    </row>
    <row r="6" spans="1:12" ht="29.45" customHeight="1" x14ac:dyDescent="0.25">
      <c r="A6" s="4">
        <v>4</v>
      </c>
      <c r="B6" s="4" t="s">
        <v>27</v>
      </c>
      <c r="C6" s="4" t="s">
        <v>31</v>
      </c>
      <c r="D6" s="4" t="s">
        <v>38</v>
      </c>
      <c r="E6" s="4">
        <v>875</v>
      </c>
      <c r="F6" s="4">
        <v>175</v>
      </c>
      <c r="G6" s="4">
        <f t="shared" si="1"/>
        <v>5</v>
      </c>
      <c r="H6" s="4">
        <v>2.4500000000000002</v>
      </c>
      <c r="I6" s="4">
        <v>2.39</v>
      </c>
      <c r="J6" s="5">
        <f t="shared" si="2"/>
        <v>428.75000000000006</v>
      </c>
      <c r="K6" s="5">
        <f t="shared" si="0"/>
        <v>2143.75</v>
      </c>
      <c r="L6" s="4"/>
    </row>
    <row r="7" spans="1:12" ht="29.45" customHeight="1" x14ac:dyDescent="0.25">
      <c r="A7" s="4">
        <v>5</v>
      </c>
      <c r="B7" s="4" t="s">
        <v>25</v>
      </c>
      <c r="C7" s="4" t="s">
        <v>32</v>
      </c>
      <c r="D7" s="4" t="s">
        <v>39</v>
      </c>
      <c r="E7" s="4">
        <v>2500</v>
      </c>
      <c r="F7" s="4">
        <v>250</v>
      </c>
      <c r="G7" s="4">
        <f t="shared" si="1"/>
        <v>10</v>
      </c>
      <c r="H7" s="4">
        <v>1.575</v>
      </c>
      <c r="I7" s="4">
        <v>1.5149999999999999</v>
      </c>
      <c r="J7" s="5">
        <f t="shared" si="2"/>
        <v>393.75</v>
      </c>
      <c r="K7" s="5">
        <f t="shared" si="0"/>
        <v>3937.5</v>
      </c>
      <c r="L7" s="4"/>
    </row>
    <row r="8" spans="1:12" ht="29.45" customHeight="1" x14ac:dyDescent="0.25">
      <c r="A8" s="4">
        <v>6</v>
      </c>
      <c r="B8" s="4" t="s">
        <v>25</v>
      </c>
      <c r="C8" s="4" t="s">
        <v>33</v>
      </c>
      <c r="D8" s="4" t="s">
        <v>40</v>
      </c>
      <c r="E8" s="4">
        <v>5085</v>
      </c>
      <c r="F8" s="4">
        <v>565</v>
      </c>
      <c r="G8" s="4">
        <f t="shared" si="1"/>
        <v>9</v>
      </c>
      <c r="H8" s="4">
        <v>0.83</v>
      </c>
      <c r="I8" s="4">
        <v>7.95</v>
      </c>
      <c r="J8" s="5">
        <f>F8*H8</f>
        <v>468.95</v>
      </c>
      <c r="K8" s="5">
        <f t="shared" si="0"/>
        <v>4220.55</v>
      </c>
      <c r="L8" s="4"/>
    </row>
    <row r="9" spans="1:12" ht="29.45" customHeight="1" x14ac:dyDescent="0.25">
      <c r="A9" s="4">
        <v>7</v>
      </c>
      <c r="B9" s="4" t="s">
        <v>25</v>
      </c>
      <c r="C9" s="4" t="s">
        <v>34</v>
      </c>
      <c r="D9" s="4" t="s">
        <v>41</v>
      </c>
      <c r="E9" s="4">
        <v>3640</v>
      </c>
      <c r="F9" s="4">
        <v>455</v>
      </c>
      <c r="G9" s="4">
        <f t="shared" si="1"/>
        <v>8</v>
      </c>
      <c r="H9" s="4">
        <v>0.94</v>
      </c>
      <c r="I9" s="4">
        <v>8.6999999999999993</v>
      </c>
      <c r="J9" s="5">
        <f>F9*H9</f>
        <v>427.7</v>
      </c>
      <c r="K9" s="5">
        <f t="shared" si="0"/>
        <v>3421.6</v>
      </c>
      <c r="L9" s="4"/>
    </row>
    <row r="10" spans="1:12" ht="17.45" customHeight="1" thickBot="1" x14ac:dyDescent="0.3">
      <c r="A10" s="100" t="s">
        <v>0</v>
      </c>
      <c r="B10" s="100"/>
      <c r="C10" s="100"/>
      <c r="D10" s="6"/>
      <c r="E10" s="6">
        <f>SUM(E3:E9)</f>
        <v>16075</v>
      </c>
      <c r="F10" s="6"/>
      <c r="G10" s="6">
        <f>SUM(G3:G9)</f>
        <v>48</v>
      </c>
      <c r="H10" s="6"/>
      <c r="I10" s="6"/>
      <c r="J10" s="7"/>
      <c r="K10" s="7">
        <f>SUM(K3:K9)</f>
        <v>20540.375</v>
      </c>
      <c r="L10" s="6"/>
    </row>
    <row r="11" spans="1:12" ht="18" customHeight="1" thickBot="1" x14ac:dyDescent="0.3">
      <c r="A11" s="10"/>
      <c r="B11" s="103" t="s">
        <v>1</v>
      </c>
      <c r="C11" s="104"/>
      <c r="D11" s="11"/>
      <c r="E11" s="101" t="s">
        <v>3</v>
      </c>
      <c r="F11" s="101"/>
      <c r="G11" s="11"/>
      <c r="H11" s="11"/>
      <c r="I11" s="11"/>
      <c r="J11" s="11"/>
      <c r="K11" s="101" t="s">
        <v>23</v>
      </c>
      <c r="L11" s="102"/>
    </row>
    <row r="12" spans="1:12" ht="18" customHeight="1" x14ac:dyDescent="0.25">
      <c r="K12" s="8"/>
    </row>
    <row r="13" spans="1:12" ht="19.149999999999999" customHeight="1" x14ac:dyDescent="0.25"/>
    <row r="14" spans="1:12" ht="21.6" customHeight="1" x14ac:dyDescent="0.25"/>
    <row r="15" spans="1:12" ht="19.899999999999999" customHeight="1" x14ac:dyDescent="0.25"/>
  </sheetData>
  <mergeCells count="5">
    <mergeCell ref="A1:L1"/>
    <mergeCell ref="A10:C10"/>
    <mergeCell ref="K11:L11"/>
    <mergeCell ref="E11:F11"/>
    <mergeCell ref="B11:C11"/>
  </mergeCells>
  <pageMargins left="0.7" right="0.7" top="0.75" bottom="0.75" header="0.3" footer="0.3"/>
  <pageSetup paperSize="9" scale="8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7"/>
  <sheetViews>
    <sheetView workbookViewId="0">
      <selection activeCell="A2" sqref="A2:L7"/>
    </sheetView>
  </sheetViews>
  <sheetFormatPr defaultRowHeight="15" x14ac:dyDescent="0.25"/>
  <cols>
    <col min="2" max="2" width="20.5703125" customWidth="1"/>
    <col min="3" max="3" width="16.85546875" customWidth="1"/>
    <col min="4" max="4" width="13.7109375" customWidth="1"/>
    <col min="5" max="5" width="16" customWidth="1"/>
    <col min="6" max="6" width="13.140625" customWidth="1"/>
    <col min="7" max="7" width="14.7109375" customWidth="1"/>
    <col min="8" max="8" width="12.42578125" customWidth="1"/>
    <col min="9" max="9" width="12.28515625" customWidth="1"/>
    <col min="10" max="10" width="13.140625" customWidth="1"/>
    <col min="11" max="11" width="12.5703125" customWidth="1"/>
    <col min="12" max="12" width="11.42578125" customWidth="1"/>
  </cols>
  <sheetData>
    <row r="1" spans="1:12" ht="44.45" customHeight="1" thickBot="1" x14ac:dyDescent="0.3"/>
    <row r="2" spans="1:12" ht="47.45" customHeight="1" thickBot="1" x14ac:dyDescent="0.3">
      <c r="A2" s="105" t="s">
        <v>78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</row>
    <row r="3" spans="1:12" ht="29.45" customHeight="1" x14ac:dyDescent="0.25">
      <c r="A3" s="24" t="s">
        <v>20</v>
      </c>
      <c r="B3" s="24" t="s">
        <v>16</v>
      </c>
      <c r="C3" s="24" t="s">
        <v>22</v>
      </c>
      <c r="D3" s="24" t="s">
        <v>7</v>
      </c>
      <c r="E3" s="24" t="s">
        <v>8</v>
      </c>
      <c r="F3" s="24" t="s">
        <v>17</v>
      </c>
      <c r="G3" s="24" t="s">
        <v>21</v>
      </c>
      <c r="H3" s="24" t="s">
        <v>18</v>
      </c>
      <c r="I3" s="24" t="s">
        <v>19</v>
      </c>
      <c r="J3" s="24" t="s">
        <v>13</v>
      </c>
      <c r="K3" s="24" t="s">
        <v>14</v>
      </c>
      <c r="L3" s="24" t="s">
        <v>15</v>
      </c>
    </row>
    <row r="4" spans="1:12" ht="29.45" customHeight="1" x14ac:dyDescent="0.25">
      <c r="A4" s="20">
        <v>1</v>
      </c>
      <c r="B4" s="20" t="s">
        <v>79</v>
      </c>
      <c r="C4" s="20">
        <v>60783</v>
      </c>
      <c r="D4" s="20" t="s">
        <v>90</v>
      </c>
      <c r="E4" s="20">
        <v>280</v>
      </c>
      <c r="F4" s="20">
        <v>280</v>
      </c>
      <c r="G4" s="20">
        <f>E4/F4</f>
        <v>1</v>
      </c>
      <c r="H4" s="20">
        <v>1.4430000000000001</v>
      </c>
      <c r="I4" s="20">
        <v>1.395</v>
      </c>
      <c r="J4" s="21">
        <f>F4*H4</f>
        <v>404.04</v>
      </c>
      <c r="K4" s="21">
        <f>E4*H4</f>
        <v>404.04</v>
      </c>
      <c r="L4" s="20"/>
    </row>
    <row r="5" spans="1:12" ht="29.45" customHeight="1" x14ac:dyDescent="0.25">
      <c r="A5" s="20">
        <v>2</v>
      </c>
      <c r="B5" s="20" t="s">
        <v>80</v>
      </c>
      <c r="C5" s="20">
        <v>56399</v>
      </c>
      <c r="D5" s="20" t="s">
        <v>91</v>
      </c>
      <c r="E5" s="20">
        <v>960</v>
      </c>
      <c r="F5" s="20">
        <v>160</v>
      </c>
      <c r="G5" s="20">
        <f t="shared" ref="G5:G12" si="0">E5/F5</f>
        <v>6</v>
      </c>
      <c r="H5" s="20">
        <v>2.6230000000000002</v>
      </c>
      <c r="I5" s="20">
        <v>2.5750000000000002</v>
      </c>
      <c r="J5" s="21">
        <f t="shared" ref="J5:J13" si="1">F5*H5</f>
        <v>419.68000000000006</v>
      </c>
      <c r="K5" s="21">
        <f t="shared" ref="K5:K15" si="2">E5*H5</f>
        <v>2518.0800000000004</v>
      </c>
      <c r="L5" s="20"/>
    </row>
    <row r="6" spans="1:12" ht="29.45" customHeight="1" x14ac:dyDescent="0.25">
      <c r="A6" s="20">
        <v>3</v>
      </c>
      <c r="B6" s="20" t="s">
        <v>81</v>
      </c>
      <c r="C6" s="20">
        <v>57766</v>
      </c>
      <c r="D6" s="20" t="s">
        <v>59</v>
      </c>
      <c r="E6" s="20">
        <v>3840</v>
      </c>
      <c r="F6" s="20">
        <v>240</v>
      </c>
      <c r="G6" s="20">
        <f>E6/F6</f>
        <v>16</v>
      </c>
      <c r="H6" s="20">
        <v>1.75</v>
      </c>
      <c r="I6" s="20">
        <v>1.7150000000000001</v>
      </c>
      <c r="J6" s="21">
        <f t="shared" si="1"/>
        <v>420</v>
      </c>
      <c r="K6" s="21">
        <f t="shared" si="2"/>
        <v>6720</v>
      </c>
      <c r="L6" s="20"/>
    </row>
    <row r="7" spans="1:12" ht="29.45" customHeight="1" x14ac:dyDescent="0.25">
      <c r="A7" s="20">
        <v>4</v>
      </c>
      <c r="B7" s="20" t="s">
        <v>82</v>
      </c>
      <c r="C7" s="20">
        <v>56388</v>
      </c>
      <c r="D7" s="20" t="s">
        <v>92</v>
      </c>
      <c r="E7" s="20">
        <v>400</v>
      </c>
      <c r="F7" s="20">
        <v>100</v>
      </c>
      <c r="G7" s="20">
        <f t="shared" si="0"/>
        <v>4</v>
      </c>
      <c r="H7" s="20">
        <v>4.4000000000000004</v>
      </c>
      <c r="I7" s="20">
        <v>4.29</v>
      </c>
      <c r="J7" s="21">
        <f t="shared" si="1"/>
        <v>440.00000000000006</v>
      </c>
      <c r="K7" s="21">
        <f t="shared" si="2"/>
        <v>1760.0000000000002</v>
      </c>
      <c r="L7" s="20"/>
    </row>
    <row r="8" spans="1:12" ht="29.45" customHeight="1" x14ac:dyDescent="0.25">
      <c r="A8" s="20">
        <v>5</v>
      </c>
      <c r="B8" s="20" t="s">
        <v>83</v>
      </c>
      <c r="C8" s="20">
        <v>55491</v>
      </c>
      <c r="D8" s="20" t="s">
        <v>93</v>
      </c>
      <c r="E8" s="20">
        <v>340</v>
      </c>
      <c r="F8" s="20">
        <v>340</v>
      </c>
      <c r="G8" s="20">
        <f t="shared" si="0"/>
        <v>1</v>
      </c>
      <c r="H8" s="20">
        <v>1.294</v>
      </c>
      <c r="I8" s="20">
        <v>1.24</v>
      </c>
      <c r="J8" s="21">
        <f t="shared" si="1"/>
        <v>439.96000000000004</v>
      </c>
      <c r="K8" s="21">
        <f t="shared" si="2"/>
        <v>439.96000000000004</v>
      </c>
      <c r="L8" s="20"/>
    </row>
    <row r="9" spans="1:12" ht="29.45" customHeight="1" x14ac:dyDescent="0.25">
      <c r="A9" s="20">
        <v>6</v>
      </c>
      <c r="B9" s="20" t="s">
        <v>84</v>
      </c>
      <c r="C9" s="20">
        <v>61022</v>
      </c>
      <c r="D9" s="20" t="s">
        <v>94</v>
      </c>
      <c r="E9" s="20">
        <v>1240</v>
      </c>
      <c r="F9" s="20">
        <v>620</v>
      </c>
      <c r="G9" s="20">
        <f t="shared" si="0"/>
        <v>2</v>
      </c>
      <c r="H9" s="20">
        <v>0.65</v>
      </c>
      <c r="I9" s="20">
        <v>0.63</v>
      </c>
      <c r="J9" s="21">
        <f t="shared" si="1"/>
        <v>403</v>
      </c>
      <c r="K9" s="21">
        <f t="shared" si="2"/>
        <v>806</v>
      </c>
      <c r="L9" s="20"/>
    </row>
    <row r="10" spans="1:12" ht="29.45" customHeight="1" x14ac:dyDescent="0.25">
      <c r="A10" s="20">
        <v>7</v>
      </c>
      <c r="B10" s="20" t="s">
        <v>84</v>
      </c>
      <c r="C10" s="20">
        <v>61023</v>
      </c>
      <c r="D10" s="20" t="s">
        <v>95</v>
      </c>
      <c r="E10" s="20">
        <v>560</v>
      </c>
      <c r="F10" s="20">
        <v>280</v>
      </c>
      <c r="G10" s="20">
        <f t="shared" si="0"/>
        <v>2</v>
      </c>
      <c r="H10" s="20">
        <v>1.49</v>
      </c>
      <c r="I10" s="20">
        <v>1.4450000000000001</v>
      </c>
      <c r="J10" s="21">
        <f t="shared" si="1"/>
        <v>417.2</v>
      </c>
      <c r="K10" s="21">
        <f t="shared" si="2"/>
        <v>834.4</v>
      </c>
      <c r="L10" s="20"/>
    </row>
    <row r="11" spans="1:12" ht="29.45" customHeight="1" x14ac:dyDescent="0.25">
      <c r="A11" s="20">
        <v>8</v>
      </c>
      <c r="B11" s="20" t="s">
        <v>85</v>
      </c>
      <c r="C11" s="20">
        <v>62863</v>
      </c>
      <c r="D11" s="20" t="s">
        <v>96</v>
      </c>
      <c r="E11" s="20">
        <v>2030</v>
      </c>
      <c r="F11" s="20">
        <v>290</v>
      </c>
      <c r="G11" s="20">
        <f t="shared" si="0"/>
        <v>7</v>
      </c>
      <c r="H11" s="20">
        <v>1.3620000000000001</v>
      </c>
      <c r="I11" s="20">
        <v>1.2849999999999999</v>
      </c>
      <c r="J11" s="21">
        <f t="shared" si="1"/>
        <v>394.98</v>
      </c>
      <c r="K11" s="21">
        <f t="shared" si="2"/>
        <v>2764.86</v>
      </c>
      <c r="L11" s="20"/>
    </row>
    <row r="12" spans="1:12" ht="29.45" customHeight="1" x14ac:dyDescent="0.25">
      <c r="A12" s="20">
        <v>9</v>
      </c>
      <c r="B12" s="20" t="s">
        <v>86</v>
      </c>
      <c r="C12" s="20">
        <v>59774</v>
      </c>
      <c r="D12" s="20" t="s">
        <v>97</v>
      </c>
      <c r="E12" s="20">
        <v>1040</v>
      </c>
      <c r="F12" s="20">
        <v>260</v>
      </c>
      <c r="G12" s="20">
        <f t="shared" si="0"/>
        <v>4</v>
      </c>
      <c r="H12" s="20">
        <v>1.589</v>
      </c>
      <c r="I12" s="20">
        <v>1.56</v>
      </c>
      <c r="J12" s="21">
        <f t="shared" si="1"/>
        <v>413.14</v>
      </c>
      <c r="K12" s="21">
        <f t="shared" si="2"/>
        <v>1652.56</v>
      </c>
      <c r="L12" s="20"/>
    </row>
    <row r="13" spans="1:12" ht="29.45" customHeight="1" x14ac:dyDescent="0.25">
      <c r="A13" s="20">
        <v>10</v>
      </c>
      <c r="B13" s="20" t="s">
        <v>87</v>
      </c>
      <c r="C13" s="20">
        <v>62876</v>
      </c>
      <c r="D13" s="20" t="s">
        <v>98</v>
      </c>
      <c r="E13" s="20">
        <v>1300</v>
      </c>
      <c r="F13" s="20">
        <v>1300</v>
      </c>
      <c r="G13" s="21">
        <f>E13/F13</f>
        <v>1</v>
      </c>
      <c r="H13" s="20">
        <v>0.14499999999999999</v>
      </c>
      <c r="I13" s="20">
        <v>0.13600000000000001</v>
      </c>
      <c r="J13" s="21">
        <f t="shared" si="1"/>
        <v>188.5</v>
      </c>
      <c r="K13" s="21">
        <f t="shared" si="2"/>
        <v>188.5</v>
      </c>
      <c r="L13" s="20"/>
    </row>
    <row r="14" spans="1:12" ht="29.45" customHeight="1" x14ac:dyDescent="0.25">
      <c r="A14" s="20">
        <v>11</v>
      </c>
      <c r="B14" s="20" t="s">
        <v>88</v>
      </c>
      <c r="C14" s="20">
        <v>62878</v>
      </c>
      <c r="D14" s="20" t="s">
        <v>99</v>
      </c>
      <c r="E14" s="20">
        <v>360</v>
      </c>
      <c r="F14" s="20">
        <v>180</v>
      </c>
      <c r="G14" s="20">
        <f>E14/F14</f>
        <v>2</v>
      </c>
      <c r="H14" s="20">
        <v>2.2869999999999999</v>
      </c>
      <c r="I14" s="20">
        <v>2.2250000000000001</v>
      </c>
      <c r="J14" s="21">
        <f>F14*H14</f>
        <v>411.65999999999997</v>
      </c>
      <c r="K14" s="21">
        <f t="shared" si="2"/>
        <v>823.31999999999994</v>
      </c>
      <c r="L14" s="20"/>
    </row>
    <row r="15" spans="1:12" ht="29.45" customHeight="1" x14ac:dyDescent="0.25">
      <c r="A15" s="20">
        <v>12</v>
      </c>
      <c r="B15" s="20" t="s">
        <v>89</v>
      </c>
      <c r="C15" s="20">
        <v>57584</v>
      </c>
      <c r="D15" s="20" t="s">
        <v>100</v>
      </c>
      <c r="E15" s="20">
        <v>180</v>
      </c>
      <c r="F15" s="20">
        <v>90</v>
      </c>
      <c r="G15" s="20">
        <f>E15/F15</f>
        <v>2</v>
      </c>
      <c r="H15" s="20">
        <v>4.59</v>
      </c>
      <c r="I15" s="20">
        <v>4.415</v>
      </c>
      <c r="J15" s="21">
        <f>F15*H15</f>
        <v>413.09999999999997</v>
      </c>
      <c r="K15" s="21">
        <f t="shared" si="2"/>
        <v>826.19999999999993</v>
      </c>
      <c r="L15" s="20"/>
    </row>
    <row r="16" spans="1:12" ht="28.9" customHeight="1" x14ac:dyDescent="0.25">
      <c r="A16" s="108" t="s">
        <v>0</v>
      </c>
      <c r="B16" s="109"/>
      <c r="C16" s="109"/>
      <c r="D16" s="22"/>
      <c r="E16" s="18">
        <f>SUM(E4:E15)</f>
        <v>12530</v>
      </c>
      <c r="F16" s="22"/>
      <c r="G16" s="19">
        <f>SUM(G4:G15)</f>
        <v>48</v>
      </c>
      <c r="H16" s="22"/>
      <c r="I16" s="22"/>
      <c r="J16" s="22"/>
      <c r="K16" s="19">
        <f>SUM(K4:K15)</f>
        <v>19737.920000000002</v>
      </c>
      <c r="L16" s="22"/>
    </row>
    <row r="17" spans="1:12" x14ac:dyDescent="0.25">
      <c r="A17" s="12"/>
      <c r="B17" s="110" t="s">
        <v>1</v>
      </c>
      <c r="C17" s="110"/>
      <c r="D17" s="12"/>
      <c r="E17" s="110" t="s">
        <v>3</v>
      </c>
      <c r="F17" s="110"/>
      <c r="G17" s="12"/>
      <c r="H17" s="12"/>
      <c r="I17" s="12"/>
      <c r="J17" s="12"/>
      <c r="K17" s="94" t="s">
        <v>23</v>
      </c>
      <c r="L17" s="96"/>
    </row>
  </sheetData>
  <mergeCells count="5">
    <mergeCell ref="A2:L2"/>
    <mergeCell ref="A16:C16"/>
    <mergeCell ref="B17:C17"/>
    <mergeCell ref="E17:F17"/>
    <mergeCell ref="K17:L17"/>
  </mergeCells>
  <pageMargins left="0.7" right="0.7" top="0.75" bottom="0.75" header="0.3" footer="0.3"/>
  <pageSetup paperSize="9" scale="7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9"/>
  <sheetViews>
    <sheetView workbookViewId="0">
      <selection activeCell="E7" sqref="E7"/>
    </sheetView>
  </sheetViews>
  <sheetFormatPr defaultRowHeight="15" x14ac:dyDescent="0.25"/>
  <cols>
    <col min="2" max="2" width="13.140625" customWidth="1"/>
    <col min="3" max="3" width="18.28515625" customWidth="1"/>
    <col min="4" max="4" width="17" customWidth="1"/>
    <col min="5" max="5" width="18.7109375" customWidth="1"/>
    <col min="6" max="6" width="15.42578125" customWidth="1"/>
    <col min="7" max="7" width="16.7109375" customWidth="1"/>
    <col min="8" max="8" width="17.28515625" customWidth="1"/>
    <col min="9" max="9" width="12.42578125" customWidth="1"/>
    <col min="10" max="10" width="12" customWidth="1"/>
    <col min="11" max="11" width="12.5703125" customWidth="1"/>
    <col min="12" max="12" width="15.42578125" customWidth="1"/>
  </cols>
  <sheetData>
    <row r="1" spans="1:13" ht="46.9" customHeight="1" x14ac:dyDescent="0.2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3" ht="45.6" customHeight="1" x14ac:dyDescent="0.25">
      <c r="A2" s="111" t="s">
        <v>101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3"/>
      <c r="M2" s="17"/>
    </row>
    <row r="3" spans="1:13" ht="29.45" customHeight="1" x14ac:dyDescent="0.25">
      <c r="A3" s="1" t="s">
        <v>43</v>
      </c>
      <c r="B3" s="1" t="s">
        <v>16</v>
      </c>
      <c r="C3" s="1" t="s">
        <v>22</v>
      </c>
      <c r="D3" s="1" t="s">
        <v>7</v>
      </c>
      <c r="E3" s="1" t="s">
        <v>8</v>
      </c>
      <c r="F3" s="1" t="s">
        <v>17</v>
      </c>
      <c r="G3" s="1" t="s">
        <v>21</v>
      </c>
      <c r="H3" s="1" t="s">
        <v>18</v>
      </c>
      <c r="I3" s="1" t="s">
        <v>19</v>
      </c>
      <c r="J3" s="2" t="s">
        <v>13</v>
      </c>
      <c r="K3" s="2" t="s">
        <v>14</v>
      </c>
      <c r="L3" s="1" t="s">
        <v>15</v>
      </c>
    </row>
    <row r="4" spans="1:13" ht="29.45" customHeight="1" x14ac:dyDescent="0.25">
      <c r="A4" s="29">
        <v>1</v>
      </c>
      <c r="B4" s="29">
        <v>40503</v>
      </c>
      <c r="C4" s="29" t="s">
        <v>102</v>
      </c>
      <c r="D4" s="29" t="s">
        <v>106</v>
      </c>
      <c r="E4" s="29">
        <v>1395</v>
      </c>
      <c r="F4" s="29">
        <v>155</v>
      </c>
      <c r="G4" s="29">
        <f>E4/F4</f>
        <v>9</v>
      </c>
      <c r="H4" s="29">
        <v>2.58</v>
      </c>
      <c r="I4" s="29">
        <v>2.5350000000000001</v>
      </c>
      <c r="J4" s="30">
        <f>F4*H4</f>
        <v>399.90000000000003</v>
      </c>
      <c r="K4" s="30">
        <f>E4*H4</f>
        <v>3599.1</v>
      </c>
      <c r="L4" s="29"/>
    </row>
    <row r="5" spans="1:13" ht="29.45" customHeight="1" x14ac:dyDescent="0.25">
      <c r="A5" s="29">
        <v>2</v>
      </c>
      <c r="B5" s="29">
        <v>40503</v>
      </c>
      <c r="C5" s="29" t="s">
        <v>103</v>
      </c>
      <c r="D5" s="29" t="s">
        <v>106</v>
      </c>
      <c r="E5" s="29">
        <v>615</v>
      </c>
      <c r="F5" s="29">
        <v>205</v>
      </c>
      <c r="G5" s="29">
        <f t="shared" ref="G5:G7" si="0">E5/F5</f>
        <v>3</v>
      </c>
      <c r="H5" s="29">
        <v>1.9650000000000001</v>
      </c>
      <c r="I5" s="29">
        <v>1.9</v>
      </c>
      <c r="J5" s="30">
        <f t="shared" ref="J5:J7" si="1">F5*H5</f>
        <v>402.82499999999999</v>
      </c>
      <c r="K5" s="30">
        <f t="shared" ref="K5:K7" si="2">E5*H5</f>
        <v>1208.4750000000001</v>
      </c>
      <c r="L5" s="29"/>
    </row>
    <row r="6" spans="1:13" ht="29.45" customHeight="1" x14ac:dyDescent="0.25">
      <c r="A6" s="29">
        <v>3</v>
      </c>
      <c r="B6" s="29">
        <v>40503</v>
      </c>
      <c r="C6" s="29" t="s">
        <v>104</v>
      </c>
      <c r="D6" s="29" t="s">
        <v>106</v>
      </c>
      <c r="E6" s="29">
        <v>1230</v>
      </c>
      <c r="F6" s="29">
        <v>205</v>
      </c>
      <c r="G6" s="29">
        <f t="shared" si="0"/>
        <v>6</v>
      </c>
      <c r="H6" s="29">
        <v>1.9650000000000001</v>
      </c>
      <c r="I6" s="29">
        <v>1.9</v>
      </c>
      <c r="J6" s="30">
        <f t="shared" si="1"/>
        <v>402.82499999999999</v>
      </c>
      <c r="K6" s="30">
        <f t="shared" si="2"/>
        <v>2416.9500000000003</v>
      </c>
      <c r="L6" s="29"/>
    </row>
    <row r="7" spans="1:13" ht="29.45" customHeight="1" x14ac:dyDescent="0.25">
      <c r="A7" s="29">
        <v>4</v>
      </c>
      <c r="B7" s="29">
        <v>40503</v>
      </c>
      <c r="C7" s="29" t="s">
        <v>105</v>
      </c>
      <c r="D7" s="29" t="s">
        <v>106</v>
      </c>
      <c r="E7" s="14">
        <v>1230</v>
      </c>
      <c r="F7" s="14">
        <v>205</v>
      </c>
      <c r="G7" s="29">
        <f t="shared" si="0"/>
        <v>6</v>
      </c>
      <c r="H7" s="14">
        <v>1.9650000000000001</v>
      </c>
      <c r="I7" s="14">
        <v>1.9</v>
      </c>
      <c r="J7" s="30">
        <f t="shared" si="1"/>
        <v>402.82499999999999</v>
      </c>
      <c r="K7" s="30">
        <f t="shared" si="2"/>
        <v>2416.9500000000003</v>
      </c>
      <c r="L7" s="14"/>
    </row>
    <row r="8" spans="1:13" ht="29.45" customHeight="1" x14ac:dyDescent="0.25">
      <c r="A8" s="114" t="s">
        <v>0</v>
      </c>
      <c r="B8" s="115"/>
      <c r="C8" s="115"/>
      <c r="D8" s="116"/>
      <c r="E8" s="23">
        <f>SUM(E4:E7)</f>
        <v>4470</v>
      </c>
      <c r="F8" s="14"/>
      <c r="G8" s="23">
        <f>SUM(G4:G7)</f>
        <v>24</v>
      </c>
      <c r="H8" s="14"/>
      <c r="I8" s="14"/>
      <c r="J8" s="14"/>
      <c r="K8" s="25">
        <f>SUM(K4:K7)</f>
        <v>9641.4750000000004</v>
      </c>
      <c r="L8" s="14"/>
    </row>
    <row r="9" spans="1:13" ht="22.9" customHeight="1" x14ac:dyDescent="0.25">
      <c r="A9" s="20"/>
      <c r="B9" s="110" t="s">
        <v>1</v>
      </c>
      <c r="C9" s="117"/>
      <c r="D9" s="12"/>
      <c r="E9" s="110" t="s">
        <v>3</v>
      </c>
      <c r="F9" s="110"/>
      <c r="G9" s="12"/>
      <c r="H9" s="12"/>
      <c r="I9" s="12"/>
      <c r="J9" s="12"/>
      <c r="K9" s="110" t="s">
        <v>23</v>
      </c>
      <c r="L9" s="118"/>
    </row>
  </sheetData>
  <mergeCells count="5">
    <mergeCell ref="A2:L2"/>
    <mergeCell ref="A8:D8"/>
    <mergeCell ref="B9:C9"/>
    <mergeCell ref="E9:F9"/>
    <mergeCell ref="K9:L9"/>
  </mergeCells>
  <pageMargins left="0.7" right="0.7" top="0.75" bottom="0.75" header="0.3" footer="0.3"/>
  <pageSetup paperSize="9" scale="73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6"/>
  <sheetViews>
    <sheetView workbookViewId="0">
      <selection activeCell="F9" sqref="F9"/>
    </sheetView>
  </sheetViews>
  <sheetFormatPr defaultRowHeight="15" x14ac:dyDescent="0.25"/>
  <cols>
    <col min="1" max="1" width="10" customWidth="1"/>
    <col min="2" max="2" width="13.28515625" customWidth="1"/>
    <col min="3" max="3" width="19.7109375" customWidth="1"/>
    <col min="4" max="4" width="16.28515625" customWidth="1"/>
    <col min="5" max="5" width="15.140625" customWidth="1"/>
    <col min="6" max="6" width="16.28515625" customWidth="1"/>
    <col min="7" max="7" width="15.5703125" customWidth="1"/>
    <col min="8" max="8" width="16.7109375" customWidth="1"/>
    <col min="9" max="9" width="13.7109375" customWidth="1"/>
    <col min="10" max="10" width="15.140625" customWidth="1"/>
    <col min="11" max="11" width="12.5703125" customWidth="1"/>
    <col min="12" max="12" width="17" customWidth="1"/>
  </cols>
  <sheetData>
    <row r="1" spans="1:12" ht="58.15" customHeight="1" x14ac:dyDescent="0.25">
      <c r="A1" s="124" t="s">
        <v>144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1:12" ht="29.45" customHeight="1" thickBot="1" x14ac:dyDescent="0.3">
      <c r="A2" s="33" t="s">
        <v>20</v>
      </c>
      <c r="B2" s="34" t="s">
        <v>16</v>
      </c>
      <c r="C2" s="34" t="s">
        <v>22</v>
      </c>
      <c r="D2" s="34" t="s">
        <v>7</v>
      </c>
      <c r="E2" s="34" t="s">
        <v>8</v>
      </c>
      <c r="F2" s="34" t="s">
        <v>17</v>
      </c>
      <c r="G2" s="34" t="s">
        <v>108</v>
      </c>
      <c r="H2" s="34" t="s">
        <v>18</v>
      </c>
      <c r="I2" s="34" t="s">
        <v>19</v>
      </c>
      <c r="J2" s="35" t="s">
        <v>13</v>
      </c>
      <c r="K2" s="35" t="s">
        <v>14</v>
      </c>
      <c r="L2" s="36" t="s">
        <v>109</v>
      </c>
    </row>
    <row r="3" spans="1:12" ht="29.45" customHeight="1" x14ac:dyDescent="0.25">
      <c r="A3" s="31">
        <v>1</v>
      </c>
      <c r="B3" s="31" t="s">
        <v>110</v>
      </c>
      <c r="C3" s="31" t="s">
        <v>111</v>
      </c>
      <c r="D3" s="31" t="s">
        <v>112</v>
      </c>
      <c r="E3" s="31">
        <v>1880</v>
      </c>
      <c r="F3" s="31">
        <v>235</v>
      </c>
      <c r="G3" s="31">
        <f>E3/F3</f>
        <v>8</v>
      </c>
      <c r="H3" s="31">
        <v>1.83</v>
      </c>
      <c r="I3" s="31">
        <v>1.76</v>
      </c>
      <c r="J3" s="32">
        <f>F3*H3</f>
        <v>430.05</v>
      </c>
      <c r="K3" s="32">
        <f>E3*H3</f>
        <v>3440.4</v>
      </c>
      <c r="L3" s="31"/>
    </row>
    <row r="4" spans="1:12" ht="29.45" customHeight="1" x14ac:dyDescent="0.25">
      <c r="A4" s="29">
        <v>2</v>
      </c>
      <c r="B4" s="14" t="s">
        <v>113</v>
      </c>
      <c r="C4" s="14" t="s">
        <v>114</v>
      </c>
      <c r="D4" s="14" t="s">
        <v>115</v>
      </c>
      <c r="E4" s="14">
        <v>20000</v>
      </c>
      <c r="F4" s="14">
        <v>1000</v>
      </c>
      <c r="G4" s="29">
        <f t="shared" ref="G4:G14" si="0">E4/F4</f>
        <v>20</v>
      </c>
      <c r="H4" s="14">
        <v>0.06</v>
      </c>
      <c r="I4" s="14"/>
      <c r="J4" s="30">
        <f t="shared" ref="J4:J14" si="1">F4*H4</f>
        <v>60</v>
      </c>
      <c r="K4" s="30">
        <f t="shared" ref="K4:K14" si="2">E4*H4</f>
        <v>1200</v>
      </c>
      <c r="L4" s="14"/>
    </row>
    <row r="5" spans="1:12" ht="29.45" customHeight="1" x14ac:dyDescent="0.25">
      <c r="A5" s="29">
        <v>3</v>
      </c>
      <c r="B5" s="29" t="s">
        <v>117</v>
      </c>
      <c r="C5" s="29" t="s">
        <v>116</v>
      </c>
      <c r="D5" s="29" t="s">
        <v>118</v>
      </c>
      <c r="E5" s="29">
        <v>15000</v>
      </c>
      <c r="F5" s="29">
        <v>1000</v>
      </c>
      <c r="G5" s="29">
        <f t="shared" si="0"/>
        <v>15</v>
      </c>
      <c r="H5" s="29">
        <v>5.8999999999999997E-2</v>
      </c>
      <c r="I5" s="29"/>
      <c r="J5" s="30">
        <f t="shared" si="1"/>
        <v>59</v>
      </c>
      <c r="K5" s="30">
        <f t="shared" si="2"/>
        <v>885</v>
      </c>
      <c r="L5" s="29"/>
    </row>
    <row r="6" spans="1:12" ht="29.45" customHeight="1" x14ac:dyDescent="0.25">
      <c r="A6" s="29">
        <v>4</v>
      </c>
      <c r="B6" s="29" t="s">
        <v>119</v>
      </c>
      <c r="C6" s="29" t="s">
        <v>120</v>
      </c>
      <c r="D6" s="29" t="s">
        <v>121</v>
      </c>
      <c r="E6" s="29">
        <v>10000</v>
      </c>
      <c r="F6" s="29">
        <v>1000</v>
      </c>
      <c r="G6" s="29">
        <f t="shared" si="0"/>
        <v>10</v>
      </c>
      <c r="H6" s="29">
        <v>9.1999999999999998E-2</v>
      </c>
      <c r="I6" s="29"/>
      <c r="J6" s="30">
        <f t="shared" si="1"/>
        <v>92</v>
      </c>
      <c r="K6" s="30">
        <f t="shared" si="2"/>
        <v>920</v>
      </c>
      <c r="L6" s="29"/>
    </row>
    <row r="7" spans="1:12" ht="29.45" customHeight="1" x14ac:dyDescent="0.25">
      <c r="A7" s="29">
        <v>5</v>
      </c>
      <c r="B7" s="29" t="s">
        <v>122</v>
      </c>
      <c r="C7" s="29" t="s">
        <v>123</v>
      </c>
      <c r="D7" s="29" t="s">
        <v>124</v>
      </c>
      <c r="E7" s="29">
        <v>30000</v>
      </c>
      <c r="F7" s="29">
        <v>1000</v>
      </c>
      <c r="G7" s="29">
        <f t="shared" si="0"/>
        <v>30</v>
      </c>
      <c r="H7" s="29">
        <v>0.113</v>
      </c>
      <c r="I7" s="29"/>
      <c r="J7" s="30">
        <f t="shared" si="1"/>
        <v>113</v>
      </c>
      <c r="K7" s="30">
        <f t="shared" si="2"/>
        <v>3390</v>
      </c>
      <c r="L7" s="29"/>
    </row>
    <row r="8" spans="1:12" ht="29.45" customHeight="1" x14ac:dyDescent="0.25">
      <c r="A8" s="29">
        <v>6</v>
      </c>
      <c r="B8" s="29" t="s">
        <v>125</v>
      </c>
      <c r="C8" s="29" t="s">
        <v>126</v>
      </c>
      <c r="D8" s="29" t="s">
        <v>127</v>
      </c>
      <c r="E8" s="29">
        <v>1125</v>
      </c>
      <c r="F8" s="29">
        <v>375</v>
      </c>
      <c r="G8" s="29">
        <f t="shared" si="0"/>
        <v>3</v>
      </c>
      <c r="H8" s="29">
        <v>1.155</v>
      </c>
      <c r="I8" s="29">
        <v>1.115</v>
      </c>
      <c r="J8" s="30">
        <f t="shared" si="1"/>
        <v>433.125</v>
      </c>
      <c r="K8" s="30">
        <f t="shared" si="2"/>
        <v>1299.375</v>
      </c>
      <c r="L8" s="29"/>
    </row>
    <row r="9" spans="1:12" ht="29.45" customHeight="1" x14ac:dyDescent="0.25">
      <c r="A9" s="29">
        <v>7</v>
      </c>
      <c r="B9" s="29" t="s">
        <v>128</v>
      </c>
      <c r="C9" s="29" t="s">
        <v>129</v>
      </c>
      <c r="D9" s="29" t="s">
        <v>130</v>
      </c>
      <c r="E9" s="29">
        <v>440</v>
      </c>
      <c r="F9" s="29">
        <v>220</v>
      </c>
      <c r="G9" s="29">
        <f t="shared" si="0"/>
        <v>2</v>
      </c>
      <c r="H9" s="29">
        <v>1.98</v>
      </c>
      <c r="I9" s="29">
        <v>1.94</v>
      </c>
      <c r="J9" s="30">
        <f t="shared" si="1"/>
        <v>435.6</v>
      </c>
      <c r="K9" s="30">
        <f t="shared" si="2"/>
        <v>871.2</v>
      </c>
      <c r="L9" s="29"/>
    </row>
    <row r="10" spans="1:12" ht="29.45" customHeight="1" x14ac:dyDescent="0.25">
      <c r="A10" s="29">
        <v>8</v>
      </c>
      <c r="B10" s="29" t="s">
        <v>131</v>
      </c>
      <c r="C10" s="29" t="s">
        <v>132</v>
      </c>
      <c r="D10" s="29" t="s">
        <v>133</v>
      </c>
      <c r="E10" s="29">
        <v>20000</v>
      </c>
      <c r="F10" s="29">
        <v>1000</v>
      </c>
      <c r="G10" s="29">
        <f t="shared" si="0"/>
        <v>20</v>
      </c>
      <c r="H10" s="29">
        <v>3.5000000000000003E-2</v>
      </c>
      <c r="I10" s="29"/>
      <c r="J10" s="30">
        <f t="shared" si="1"/>
        <v>35</v>
      </c>
      <c r="K10" s="30">
        <f t="shared" si="2"/>
        <v>700.00000000000011</v>
      </c>
      <c r="L10" s="29"/>
    </row>
    <row r="11" spans="1:12" ht="29.45" customHeight="1" x14ac:dyDescent="0.25">
      <c r="A11" s="29">
        <v>9</v>
      </c>
      <c r="B11" s="29" t="s">
        <v>134</v>
      </c>
      <c r="C11" s="29" t="s">
        <v>135</v>
      </c>
      <c r="D11" s="29" t="s">
        <v>136</v>
      </c>
      <c r="E11" s="29">
        <v>60000</v>
      </c>
      <c r="F11" s="29">
        <v>1000</v>
      </c>
      <c r="G11" s="29">
        <f t="shared" si="0"/>
        <v>60</v>
      </c>
      <c r="H11" s="29">
        <v>5.6000000000000001E-2</v>
      </c>
      <c r="I11" s="29"/>
      <c r="J11" s="30">
        <f t="shared" si="1"/>
        <v>56</v>
      </c>
      <c r="K11" s="30">
        <f>E11*H11</f>
        <v>3360</v>
      </c>
      <c r="L11" s="29"/>
    </row>
    <row r="12" spans="1:12" ht="29.45" customHeight="1" x14ac:dyDescent="0.25">
      <c r="A12" s="29">
        <v>10</v>
      </c>
      <c r="B12" s="29" t="s">
        <v>137</v>
      </c>
      <c r="C12" s="29" t="s">
        <v>138</v>
      </c>
      <c r="D12" s="29" t="s">
        <v>112</v>
      </c>
      <c r="E12" s="29">
        <v>620</v>
      </c>
      <c r="F12" s="29">
        <v>310</v>
      </c>
      <c r="G12" s="29">
        <f t="shared" si="0"/>
        <v>2</v>
      </c>
      <c r="H12" s="29">
        <v>1.4</v>
      </c>
      <c r="I12" s="29">
        <v>1.35</v>
      </c>
      <c r="J12" s="30">
        <f t="shared" si="1"/>
        <v>434</v>
      </c>
      <c r="K12" s="30">
        <f t="shared" si="2"/>
        <v>868</v>
      </c>
      <c r="L12" s="29"/>
    </row>
    <row r="13" spans="1:12" ht="29.45" customHeight="1" x14ac:dyDescent="0.25">
      <c r="A13" s="29">
        <v>11</v>
      </c>
      <c r="B13" s="29" t="s">
        <v>139</v>
      </c>
      <c r="C13" s="29" t="s">
        <v>140</v>
      </c>
      <c r="D13" s="29" t="s">
        <v>107</v>
      </c>
      <c r="E13" s="29">
        <v>330</v>
      </c>
      <c r="F13" s="29">
        <v>330</v>
      </c>
      <c r="G13" s="29">
        <f t="shared" si="0"/>
        <v>1</v>
      </c>
      <c r="H13" s="29">
        <v>1.31</v>
      </c>
      <c r="I13" s="29">
        <v>1.25</v>
      </c>
      <c r="J13" s="30">
        <f t="shared" si="1"/>
        <v>432.3</v>
      </c>
      <c r="K13" s="30">
        <f t="shared" si="2"/>
        <v>432.3</v>
      </c>
      <c r="L13" s="29"/>
    </row>
    <row r="14" spans="1:12" ht="29.45" customHeight="1" thickBot="1" x14ac:dyDescent="0.3">
      <c r="A14" s="37">
        <v>12</v>
      </c>
      <c r="B14" s="37" t="s">
        <v>141</v>
      </c>
      <c r="C14" s="37" t="s">
        <v>142</v>
      </c>
      <c r="D14" s="37" t="s">
        <v>143</v>
      </c>
      <c r="E14" s="37">
        <v>20000</v>
      </c>
      <c r="F14" s="37">
        <v>1000</v>
      </c>
      <c r="G14" s="37">
        <f t="shared" si="0"/>
        <v>20</v>
      </c>
      <c r="H14" s="37">
        <v>9.4E-2</v>
      </c>
      <c r="I14" s="37"/>
      <c r="J14" s="38">
        <f t="shared" si="1"/>
        <v>94</v>
      </c>
      <c r="K14" s="38">
        <f t="shared" si="2"/>
        <v>1880</v>
      </c>
      <c r="L14" s="37"/>
    </row>
    <row r="15" spans="1:12" ht="21" x14ac:dyDescent="0.25">
      <c r="A15" s="119" t="s">
        <v>0</v>
      </c>
      <c r="B15" s="120"/>
      <c r="C15" s="120"/>
      <c r="D15" s="120"/>
      <c r="E15" s="39">
        <f>SUM(E3:E14)</f>
        <v>179395</v>
      </c>
      <c r="F15" s="40"/>
      <c r="G15" s="39">
        <f>SUM(G3:G14)</f>
        <v>191</v>
      </c>
      <c r="H15" s="40"/>
      <c r="I15" s="40"/>
      <c r="J15" s="40"/>
      <c r="K15" s="41">
        <f>SUM(K3:K14)</f>
        <v>19246.274999999998</v>
      </c>
      <c r="L15" s="42"/>
    </row>
    <row r="16" spans="1:12" ht="16.5" thickBot="1" x14ac:dyDescent="0.3">
      <c r="A16" s="43"/>
      <c r="B16" s="121" t="s">
        <v>1</v>
      </c>
      <c r="C16" s="122"/>
      <c r="D16" s="3"/>
      <c r="E16" s="121" t="s">
        <v>3</v>
      </c>
      <c r="F16" s="121"/>
      <c r="G16" s="3"/>
      <c r="H16" s="3"/>
      <c r="I16" s="3"/>
      <c r="J16" s="3"/>
      <c r="K16" s="121" t="s">
        <v>23</v>
      </c>
      <c r="L16" s="123"/>
    </row>
  </sheetData>
  <mergeCells count="5">
    <mergeCell ref="A15:D15"/>
    <mergeCell ref="B16:C16"/>
    <mergeCell ref="E16:F16"/>
    <mergeCell ref="K16:L16"/>
    <mergeCell ref="A1:L1"/>
  </mergeCells>
  <pageMargins left="0.7" right="0.7" top="0.75" bottom="0.75" header="0.3" footer="0.3"/>
  <pageSetup paperSize="9" scale="72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1"/>
  <sheetViews>
    <sheetView workbookViewId="0">
      <selection sqref="A1:L1"/>
    </sheetView>
  </sheetViews>
  <sheetFormatPr defaultRowHeight="15" x14ac:dyDescent="0.25"/>
  <cols>
    <col min="1" max="1" width="9.28515625" customWidth="1"/>
    <col min="2" max="2" width="21.28515625" customWidth="1"/>
    <col min="3" max="3" width="17.7109375" customWidth="1"/>
    <col min="4" max="4" width="18.140625" customWidth="1"/>
    <col min="5" max="5" width="19" customWidth="1"/>
    <col min="6" max="6" width="18.7109375" customWidth="1"/>
    <col min="7" max="7" width="16.85546875" customWidth="1"/>
    <col min="8" max="8" width="17" customWidth="1"/>
    <col min="9" max="9" width="16.5703125" customWidth="1"/>
    <col min="10" max="10" width="13.85546875" customWidth="1"/>
    <col min="11" max="11" width="16.28515625" customWidth="1"/>
    <col min="12" max="12" width="15.85546875" customWidth="1"/>
  </cols>
  <sheetData>
    <row r="1" spans="1:12" ht="57" customHeight="1" x14ac:dyDescent="0.25">
      <c r="A1" s="127" t="s">
        <v>145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</row>
    <row r="2" spans="1:12" ht="29.45" customHeight="1" x14ac:dyDescent="0.25">
      <c r="A2" s="44" t="s">
        <v>20</v>
      </c>
      <c r="B2" s="44" t="s">
        <v>16</v>
      </c>
      <c r="C2" s="44" t="s">
        <v>22</v>
      </c>
      <c r="D2" s="44" t="s">
        <v>7</v>
      </c>
      <c r="E2" s="44" t="s">
        <v>8</v>
      </c>
      <c r="F2" s="44" t="s">
        <v>17</v>
      </c>
      <c r="G2" s="44" t="s">
        <v>108</v>
      </c>
      <c r="H2" s="44" t="s">
        <v>18</v>
      </c>
      <c r="I2" s="44" t="s">
        <v>19</v>
      </c>
      <c r="J2" s="45" t="s">
        <v>13</v>
      </c>
      <c r="K2" s="45" t="s">
        <v>14</v>
      </c>
      <c r="L2" s="44" t="s">
        <v>109</v>
      </c>
    </row>
    <row r="3" spans="1:12" ht="29.45" customHeight="1" x14ac:dyDescent="0.25">
      <c r="A3" s="29">
        <v>1</v>
      </c>
      <c r="B3" s="29" t="s">
        <v>146</v>
      </c>
      <c r="C3" s="29">
        <v>395095</v>
      </c>
      <c r="D3" s="29" t="s">
        <v>147</v>
      </c>
      <c r="E3" s="29">
        <v>2000</v>
      </c>
      <c r="F3" s="29">
        <v>200</v>
      </c>
      <c r="G3" s="29">
        <f>E3/F3</f>
        <v>10</v>
      </c>
      <c r="H3" s="29">
        <v>1.99</v>
      </c>
      <c r="I3" s="29">
        <v>1.92</v>
      </c>
      <c r="J3" s="30">
        <f>F3*H3</f>
        <v>398</v>
      </c>
      <c r="K3" s="30">
        <f>E3*H3</f>
        <v>3980</v>
      </c>
      <c r="L3" s="29"/>
    </row>
    <row r="4" spans="1:12" ht="29.45" customHeight="1" x14ac:dyDescent="0.25">
      <c r="A4" s="29">
        <v>2</v>
      </c>
      <c r="B4" s="29" t="s">
        <v>148</v>
      </c>
      <c r="C4" s="29">
        <v>310150</v>
      </c>
      <c r="D4" s="29" t="s">
        <v>149</v>
      </c>
      <c r="E4" s="29">
        <v>3000</v>
      </c>
      <c r="F4" s="29">
        <v>250</v>
      </c>
      <c r="G4" s="29">
        <f t="shared" ref="G4:G9" si="0">E4/F4</f>
        <v>12</v>
      </c>
      <c r="H4" s="29">
        <v>0.59</v>
      </c>
      <c r="I4" s="29">
        <v>0.54100000000000004</v>
      </c>
      <c r="J4" s="30">
        <f t="shared" ref="J4:J9" si="1">F4*H4</f>
        <v>147.5</v>
      </c>
      <c r="K4" s="30">
        <f t="shared" ref="K4:K9" si="2">E4*H4</f>
        <v>1770</v>
      </c>
      <c r="L4" s="29"/>
    </row>
    <row r="5" spans="1:12" ht="29.45" customHeight="1" x14ac:dyDescent="0.25">
      <c r="A5" s="29">
        <v>3</v>
      </c>
      <c r="B5" s="29" t="s">
        <v>150</v>
      </c>
      <c r="C5" s="29">
        <v>390127</v>
      </c>
      <c r="D5" s="29" t="s">
        <v>39</v>
      </c>
      <c r="E5" s="29">
        <v>1500</v>
      </c>
      <c r="F5" s="29">
        <v>250</v>
      </c>
      <c r="G5" s="29">
        <f t="shared" si="0"/>
        <v>6</v>
      </c>
      <c r="H5" s="29">
        <v>1.64</v>
      </c>
      <c r="I5" s="29">
        <v>1.58</v>
      </c>
      <c r="J5" s="30">
        <f t="shared" si="1"/>
        <v>410</v>
      </c>
      <c r="K5" s="30">
        <f t="shared" si="2"/>
        <v>2460</v>
      </c>
      <c r="L5" s="29"/>
    </row>
    <row r="6" spans="1:12" ht="29.45" customHeight="1" x14ac:dyDescent="0.25">
      <c r="A6" s="29">
        <v>4</v>
      </c>
      <c r="B6" s="29" t="s">
        <v>151</v>
      </c>
      <c r="C6" s="29">
        <v>350940</v>
      </c>
      <c r="D6" s="29" t="s">
        <v>60</v>
      </c>
      <c r="E6" s="29">
        <v>1800</v>
      </c>
      <c r="F6" s="29">
        <v>300</v>
      </c>
      <c r="G6" s="29">
        <f t="shared" si="0"/>
        <v>6</v>
      </c>
      <c r="H6" s="29">
        <v>1.365</v>
      </c>
      <c r="I6" s="29">
        <v>1.34</v>
      </c>
      <c r="J6" s="30">
        <f t="shared" si="1"/>
        <v>409.5</v>
      </c>
      <c r="K6" s="30">
        <f t="shared" si="2"/>
        <v>2457</v>
      </c>
      <c r="L6" s="29"/>
    </row>
    <row r="7" spans="1:12" ht="29.45" customHeight="1" x14ac:dyDescent="0.25">
      <c r="A7" s="29">
        <v>5</v>
      </c>
      <c r="B7" s="29" t="s">
        <v>152</v>
      </c>
      <c r="C7" s="29">
        <v>396659</v>
      </c>
      <c r="D7" s="29" t="s">
        <v>60</v>
      </c>
      <c r="E7" s="29">
        <v>800</v>
      </c>
      <c r="F7" s="29">
        <v>200</v>
      </c>
      <c r="G7" s="29">
        <f t="shared" si="0"/>
        <v>4</v>
      </c>
      <c r="H7" s="29">
        <v>1.36</v>
      </c>
      <c r="I7" s="29">
        <v>1.31</v>
      </c>
      <c r="J7" s="30">
        <f t="shared" si="1"/>
        <v>272</v>
      </c>
      <c r="K7" s="30">
        <f t="shared" si="2"/>
        <v>1088</v>
      </c>
      <c r="L7" s="29"/>
    </row>
    <row r="8" spans="1:12" ht="29.45" customHeight="1" x14ac:dyDescent="0.25">
      <c r="A8" s="29">
        <v>6</v>
      </c>
      <c r="B8" s="29" t="s">
        <v>153</v>
      </c>
      <c r="C8" s="29">
        <v>350916</v>
      </c>
      <c r="D8" s="29" t="s">
        <v>154</v>
      </c>
      <c r="E8" s="29">
        <v>800</v>
      </c>
      <c r="F8" s="29">
        <v>200</v>
      </c>
      <c r="G8" s="29">
        <f t="shared" si="0"/>
        <v>4</v>
      </c>
      <c r="H8" s="29">
        <v>2.27</v>
      </c>
      <c r="I8" s="29">
        <v>2.2000000000000002</v>
      </c>
      <c r="J8" s="30">
        <f t="shared" si="1"/>
        <v>454</v>
      </c>
      <c r="K8" s="30">
        <f t="shared" si="2"/>
        <v>1816</v>
      </c>
      <c r="L8" s="29"/>
    </row>
    <row r="9" spans="1:12" ht="29.45" customHeight="1" x14ac:dyDescent="0.25">
      <c r="A9" s="29">
        <v>7</v>
      </c>
      <c r="B9" s="29" t="s">
        <v>155</v>
      </c>
      <c r="C9" s="29">
        <v>350056</v>
      </c>
      <c r="D9" s="29" t="s">
        <v>156</v>
      </c>
      <c r="E9" s="29">
        <v>3000</v>
      </c>
      <c r="F9" s="29">
        <v>215</v>
      </c>
      <c r="G9" s="30">
        <f t="shared" si="0"/>
        <v>13.953488372093023</v>
      </c>
      <c r="H9" s="29">
        <v>2.14</v>
      </c>
      <c r="I9" s="29">
        <v>2.0649999999999999</v>
      </c>
      <c r="J9" s="30">
        <f t="shared" si="1"/>
        <v>460.1</v>
      </c>
      <c r="K9" s="30">
        <f t="shared" si="2"/>
        <v>6420</v>
      </c>
      <c r="L9" s="29"/>
    </row>
    <row r="10" spans="1:12" ht="21" x14ac:dyDescent="0.25">
      <c r="A10" s="129" t="s">
        <v>0</v>
      </c>
      <c r="B10" s="129"/>
      <c r="C10" s="129"/>
      <c r="D10" s="129"/>
      <c r="E10" s="46">
        <f>SUM(E3:E9)</f>
        <v>12900</v>
      </c>
      <c r="F10" s="47"/>
      <c r="G10" s="48">
        <f>SUM(G3:G9)</f>
        <v>55.95348837209302</v>
      </c>
      <c r="H10" s="47"/>
      <c r="I10" s="47"/>
      <c r="J10" s="47"/>
      <c r="K10" s="48">
        <f>SUM(K3:K9)</f>
        <v>19991</v>
      </c>
      <c r="L10" s="14"/>
    </row>
    <row r="11" spans="1:12" ht="21.6" customHeight="1" x14ac:dyDescent="0.25">
      <c r="A11" s="20"/>
      <c r="B11" s="130" t="s">
        <v>1</v>
      </c>
      <c r="C11" s="117"/>
      <c r="D11" s="12"/>
      <c r="E11" s="130" t="s">
        <v>3</v>
      </c>
      <c r="F11" s="130"/>
      <c r="G11" s="12"/>
      <c r="H11" s="12"/>
      <c r="I11" s="12"/>
      <c r="J11" s="12"/>
      <c r="K11" s="130" t="s">
        <v>23</v>
      </c>
      <c r="L11" s="131"/>
    </row>
  </sheetData>
  <mergeCells count="5">
    <mergeCell ref="A1:L1"/>
    <mergeCell ref="A10:D10"/>
    <mergeCell ref="B11:C11"/>
    <mergeCell ref="E11:F11"/>
    <mergeCell ref="K11:L11"/>
  </mergeCells>
  <pageMargins left="0.7" right="0.7" top="0.75" bottom="0.75" header="0.3" footer="0.3"/>
  <pageSetup paperSize="9" scale="6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>
      <selection sqref="A1:L1"/>
    </sheetView>
  </sheetViews>
  <sheetFormatPr defaultRowHeight="15" x14ac:dyDescent="0.25"/>
  <cols>
    <col min="2" max="2" width="20" customWidth="1"/>
    <col min="3" max="3" width="15.140625" customWidth="1"/>
    <col min="4" max="4" width="19.7109375" customWidth="1"/>
    <col min="5" max="5" width="19.28515625" customWidth="1"/>
    <col min="6" max="6" width="16" customWidth="1"/>
    <col min="7" max="7" width="14.7109375" customWidth="1"/>
    <col min="8" max="8" width="19.85546875" customWidth="1"/>
    <col min="9" max="9" width="15.140625" customWidth="1"/>
    <col min="10" max="10" width="14.7109375" customWidth="1"/>
    <col min="11" max="11" width="16.7109375" customWidth="1"/>
    <col min="12" max="12" width="18.85546875" customWidth="1"/>
  </cols>
  <sheetData>
    <row r="1" spans="1:12" ht="26.25" x14ac:dyDescent="0.25">
      <c r="A1" s="137" t="s">
        <v>158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9"/>
    </row>
    <row r="2" spans="1:12" x14ac:dyDescent="0.25">
      <c r="A2" s="53" t="s">
        <v>4</v>
      </c>
      <c r="B2" s="50" t="s">
        <v>5</v>
      </c>
      <c r="C2" s="50" t="s">
        <v>6</v>
      </c>
      <c r="D2" s="50" t="s">
        <v>7</v>
      </c>
      <c r="E2" s="50" t="s">
        <v>8</v>
      </c>
      <c r="F2" s="50" t="s">
        <v>9</v>
      </c>
      <c r="G2" s="50" t="s">
        <v>10</v>
      </c>
      <c r="H2" s="50" t="s">
        <v>11</v>
      </c>
      <c r="I2" s="50" t="s">
        <v>12</v>
      </c>
      <c r="J2" s="50" t="s">
        <v>13</v>
      </c>
      <c r="K2" s="50" t="s">
        <v>14</v>
      </c>
      <c r="L2" s="54" t="s">
        <v>15</v>
      </c>
    </row>
    <row r="3" spans="1:12" ht="15.75" x14ac:dyDescent="0.25">
      <c r="A3" s="55">
        <v>1</v>
      </c>
      <c r="B3" s="1" t="s">
        <v>159</v>
      </c>
      <c r="C3" s="52" t="s">
        <v>160</v>
      </c>
      <c r="D3" s="1" t="s">
        <v>161</v>
      </c>
      <c r="E3" s="1">
        <v>2400</v>
      </c>
      <c r="F3" s="2">
        <v>400</v>
      </c>
      <c r="G3" s="2">
        <v>6</v>
      </c>
      <c r="H3" s="1">
        <v>1.145</v>
      </c>
      <c r="I3" s="1">
        <v>1.1000000000000001</v>
      </c>
      <c r="J3" s="2">
        <v>458</v>
      </c>
      <c r="K3" s="2">
        <v>2748</v>
      </c>
      <c r="L3" s="56"/>
    </row>
    <row r="4" spans="1:12" ht="15.75" x14ac:dyDescent="0.25">
      <c r="A4" s="55">
        <v>2</v>
      </c>
      <c r="B4" s="1" t="s">
        <v>159</v>
      </c>
      <c r="C4" s="52" t="s">
        <v>162</v>
      </c>
      <c r="D4" s="1" t="s">
        <v>163</v>
      </c>
      <c r="E4" s="1">
        <v>1100</v>
      </c>
      <c r="F4" s="2">
        <v>300</v>
      </c>
      <c r="G4" s="2">
        <v>3.6666666666666665</v>
      </c>
      <c r="H4" s="1">
        <v>1.7749999999999999</v>
      </c>
      <c r="I4" s="1">
        <v>1.7250000000000001</v>
      </c>
      <c r="J4" s="2">
        <v>532.5</v>
      </c>
      <c r="K4" s="2">
        <v>1952.5</v>
      </c>
      <c r="L4" s="56"/>
    </row>
    <row r="5" spans="1:12" ht="15.75" x14ac:dyDescent="0.25">
      <c r="A5" s="55">
        <v>3</v>
      </c>
      <c r="B5" s="1" t="s">
        <v>159</v>
      </c>
      <c r="C5" s="52" t="s">
        <v>164</v>
      </c>
      <c r="D5" s="1" t="s">
        <v>161</v>
      </c>
      <c r="E5" s="1">
        <v>5250</v>
      </c>
      <c r="F5" s="2">
        <v>375</v>
      </c>
      <c r="G5" s="2">
        <v>14</v>
      </c>
      <c r="H5" s="1">
        <v>1.298</v>
      </c>
      <c r="I5" s="1">
        <v>1.2549999999999999</v>
      </c>
      <c r="J5" s="2">
        <v>486.75</v>
      </c>
      <c r="K5" s="2">
        <v>6814.5</v>
      </c>
      <c r="L5" s="56"/>
    </row>
    <row r="6" spans="1:12" ht="15.75" x14ac:dyDescent="0.25">
      <c r="A6" s="55">
        <v>4</v>
      </c>
      <c r="B6" s="1" t="s">
        <v>159</v>
      </c>
      <c r="C6" s="52" t="s">
        <v>165</v>
      </c>
      <c r="D6" s="1" t="s">
        <v>163</v>
      </c>
      <c r="E6" s="1">
        <v>2200</v>
      </c>
      <c r="F6" s="2">
        <v>275</v>
      </c>
      <c r="G6" s="2">
        <v>8</v>
      </c>
      <c r="H6" s="1">
        <v>1.665</v>
      </c>
      <c r="I6" s="1">
        <v>1.615</v>
      </c>
      <c r="J6" s="2">
        <v>457.875</v>
      </c>
      <c r="K6" s="2">
        <v>3663</v>
      </c>
      <c r="L6" s="56"/>
    </row>
    <row r="7" spans="1:12" ht="15.75" x14ac:dyDescent="0.25">
      <c r="A7" s="55">
        <v>5</v>
      </c>
      <c r="B7" s="1" t="s">
        <v>159</v>
      </c>
      <c r="C7" s="52" t="s">
        <v>166</v>
      </c>
      <c r="D7" s="1" t="s">
        <v>163</v>
      </c>
      <c r="E7" s="1">
        <v>4800</v>
      </c>
      <c r="F7" s="2">
        <v>300</v>
      </c>
      <c r="G7" s="2">
        <v>16</v>
      </c>
      <c r="H7" s="1">
        <v>1.603</v>
      </c>
      <c r="I7" s="1">
        <v>1.55</v>
      </c>
      <c r="J7" s="2">
        <v>480.9</v>
      </c>
      <c r="K7" s="2">
        <v>7694.4</v>
      </c>
      <c r="L7" s="56"/>
    </row>
    <row r="8" spans="1:12" ht="23.25" x14ac:dyDescent="0.25">
      <c r="A8" s="132" t="s">
        <v>0</v>
      </c>
      <c r="B8" s="133"/>
      <c r="C8" s="133"/>
      <c r="D8" s="133"/>
      <c r="E8" s="59">
        <v>15750</v>
      </c>
      <c r="F8" s="51"/>
      <c r="G8" s="51">
        <v>47.666666666666664</v>
      </c>
      <c r="H8" s="59"/>
      <c r="I8" s="59"/>
      <c r="J8" s="59"/>
      <c r="K8" s="51">
        <v>22872.400000000001</v>
      </c>
      <c r="L8" s="58"/>
    </row>
    <row r="9" spans="1:12" ht="15.75" thickBot="1" x14ac:dyDescent="0.3">
      <c r="A9" s="57"/>
      <c r="B9" s="134" t="s">
        <v>1</v>
      </c>
      <c r="C9" s="134"/>
      <c r="D9" s="135" t="s">
        <v>2</v>
      </c>
      <c r="E9" s="135"/>
      <c r="F9" s="135"/>
      <c r="G9" s="3"/>
      <c r="H9" s="3"/>
      <c r="I9" s="3"/>
      <c r="J9" s="3"/>
      <c r="K9" s="136" t="s">
        <v>3</v>
      </c>
      <c r="L9" s="123"/>
    </row>
  </sheetData>
  <mergeCells count="5">
    <mergeCell ref="A8:D8"/>
    <mergeCell ref="B9:C9"/>
    <mergeCell ref="D9:F9"/>
    <mergeCell ref="K9:L9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Sheet4</vt:lpstr>
      <vt:lpstr>Sheet2</vt:lpstr>
      <vt:lpstr>Sheet3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s</dc:creator>
  <cp:lastModifiedBy>HP</cp:lastModifiedBy>
  <cp:lastPrinted>2026-03-14T04:52:16Z</cp:lastPrinted>
  <dcterms:created xsi:type="dcterms:W3CDTF">2025-12-17T04:46:33Z</dcterms:created>
  <dcterms:modified xsi:type="dcterms:W3CDTF">2026-03-24T06:30:55Z</dcterms:modified>
</cp:coreProperties>
</file>